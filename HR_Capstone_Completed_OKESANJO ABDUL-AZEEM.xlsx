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Pictures\excel capstone project\"/>
    </mc:Choice>
  </mc:AlternateContent>
  <xr:revisionPtr revIDLastSave="0" documentId="13_ncr:1_{A62C36FD-E171-45F4-9473-E56105D863E7}" xr6:coauthVersionLast="47" xr6:coauthVersionMax="47" xr10:uidLastSave="{00000000-0000-0000-0000-000000000000}"/>
  <bookViews>
    <workbookView xWindow="-108" yWindow="-108" windowWidth="23256" windowHeight="12456" firstSheet="1" activeTab="4" xr2:uid="{00000000-000D-0000-FFFF-FFFF00000000}"/>
  </bookViews>
  <sheets>
    <sheet name="Raw_Employee_Data" sheetId="1" r:id="rId1"/>
    <sheet name="clean_employee_data" sheetId="5" r:id="rId2"/>
    <sheet name="Analysis" sheetId="6" r:id="rId3"/>
    <sheet name="Charts" sheetId="9" r:id="rId4"/>
    <sheet name="HR Dashboard" sheetId="8" r:id="rId5"/>
    <sheet name="Lookup_Departments" sheetId="2" r:id="rId6"/>
    <sheet name="Lookup_Performance" sheetId="3" r:id="rId7"/>
  </sheets>
  <definedNames>
    <definedName name="ExternalData_1" localSheetId="1" hidden="1">clean_employee_data!$A$1:$K$151</definedName>
    <definedName name="lookup_departments">Table7[]</definedName>
    <definedName name="perf_look">Table8[]</definedName>
    <definedName name="Slicer_Department_Name">#N/A</definedName>
    <definedName name="Slicer_Employment_Status">#N/A</definedName>
    <definedName name="Slicer_Performance_Band">#N/A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5" l="1"/>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D3" i="5"/>
  <c r="D2"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K4" i="6"/>
  <c r="K19" i="6"/>
  <c r="K14" i="6"/>
  <c r="K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2CA3C6-CED7-4F9D-8AE5-0B6AA17C6294}" keepAlive="1" name="Query - AVG_dept__Perf_Score" description="Connection to the 'AVG_dept__Perf_Score' query in the workbook." type="5" refreshedVersion="0" background="1">
    <dbPr connection="Provider=Microsoft.Mashup.OleDb.1;Data Source=$Workbook$;Location=AVG_dept__Perf_Score;Extended Properties=&quot;&quot;" command="SELECT * FROM [AVG_dept__Perf_Score]"/>
  </connection>
  <connection id="2" xr16:uid="{B404C96C-9E6B-431C-86FC-0447158FC6E0}" keepAlive="1" name="Query - AVG_DEPT_SALARY" description="Connection to the 'AVG_DEPT_SALARY' query in the workbook." type="5" refreshedVersion="8" background="1" saveData="1">
    <dbPr connection="Provider=Microsoft.Mashup.OleDb.1;Data Source=$Workbook$;Location=AVG_DEPT_SALARY;Extended Properties=&quot;&quot;" command="SELECT * FROM [AVG_DEPT_SALARY]"/>
  </connection>
  <connection id="3" xr16:uid="{ADFD05AB-617F-4ED1-A3FA-792E5686B43E}" keepAlive="1" name="Query - base_cleaned" description="Connection to the 'base_cleaned' query in the workbook." type="5" refreshedVersion="8" background="1" saveData="1">
    <dbPr connection="Provider=Microsoft.Mashup.OleDb.1;Data Source=$Workbook$;Location=base_cleaned;Extended Properties=&quot;&quot;" command="SELECT * FROM [base_cleaned]"/>
  </connection>
  <connection id="4" xr16:uid="{C6310C88-747E-4374-90EB-00F2C3149FB6}" keepAlive="1" name="Query - cleaned" description="Connection to the 'cleaned' query in the workbook." type="5" refreshedVersion="0" background="1">
    <dbPr connection="Provider=Microsoft.Mashup.OleDb.1;Data Source=$Workbook$;Location=cleaned;Extended Properties=&quot;&quot;" command="SELECT * FROM [cleaned]"/>
  </connection>
</connections>
</file>

<file path=xl/sharedStrings.xml><?xml version="1.0" encoding="utf-8"?>
<sst xmlns="http://schemas.openxmlformats.org/spreadsheetml/2006/main" count="1719" uniqueCount="333">
  <si>
    <t>Emp ID</t>
  </si>
  <si>
    <t>First_Name</t>
  </si>
  <si>
    <t>Last_Name</t>
  </si>
  <si>
    <t>Dept Code</t>
  </si>
  <si>
    <t>Hire Date</t>
  </si>
  <si>
    <t>Salary</t>
  </si>
  <si>
    <t>Perf_Score</t>
  </si>
  <si>
    <t>Employment Status</t>
  </si>
  <si>
    <t>EMP127</t>
  </si>
  <si>
    <t>Emily</t>
  </si>
  <si>
    <t>Brown</t>
  </si>
  <si>
    <t>IT02</t>
  </si>
  <si>
    <t>active</t>
  </si>
  <si>
    <t>EMP046</t>
  </si>
  <si>
    <t>Richard</t>
  </si>
  <si>
    <t>Hernandez</t>
  </si>
  <si>
    <t>MKT04</t>
  </si>
  <si>
    <t xml:space="preserve"> ACTIVE </t>
  </si>
  <si>
    <t>EMP134</t>
  </si>
  <si>
    <t>Gonzalez</t>
  </si>
  <si>
    <t xml:space="preserve"> IT02 </t>
  </si>
  <si>
    <t>$114,425</t>
  </si>
  <si>
    <t xml:space="preserve"> LEFT </t>
  </si>
  <si>
    <t>EMP139</t>
  </si>
  <si>
    <t>John</t>
  </si>
  <si>
    <t>Martinez</t>
  </si>
  <si>
    <t>FIN03</t>
  </si>
  <si>
    <t>EMP112</t>
  </si>
  <si>
    <t>Thomas</t>
  </si>
  <si>
    <t>Smith</t>
  </si>
  <si>
    <t>Left</t>
  </si>
  <si>
    <t>EMP030</t>
  </si>
  <si>
    <t>Johnson</t>
  </si>
  <si>
    <t>OPS06</t>
  </si>
  <si>
    <t>02-Mar-20</t>
  </si>
  <si>
    <t>EMP096</t>
  </si>
  <si>
    <t>Wilson</t>
  </si>
  <si>
    <t xml:space="preserve"> OPS06 </t>
  </si>
  <si>
    <t>EMP098</t>
  </si>
  <si>
    <t>Jessica</t>
  </si>
  <si>
    <t>EMP095</t>
  </si>
  <si>
    <t>Rodriguez</t>
  </si>
  <si>
    <t>EMP140</t>
  </si>
  <si>
    <t>Michael</t>
  </si>
  <si>
    <t>SAL05</t>
  </si>
  <si>
    <t>Active</t>
  </si>
  <si>
    <t>EMP020</t>
  </si>
  <si>
    <t>Miller</t>
  </si>
  <si>
    <t>sal05</t>
  </si>
  <si>
    <t>$118,635</t>
  </si>
  <si>
    <t>EMP057</t>
  </si>
  <si>
    <t>Actv</t>
  </si>
  <si>
    <t>EMP016</t>
  </si>
  <si>
    <t>Jane</t>
  </si>
  <si>
    <t>Williams</t>
  </si>
  <si>
    <t>mkt04</t>
  </si>
  <si>
    <t>17-Jun-21</t>
  </si>
  <si>
    <t>EMP070</t>
  </si>
  <si>
    <t>EMP025</t>
  </si>
  <si>
    <t>Robert</t>
  </si>
  <si>
    <t>Jones</t>
  </si>
  <si>
    <t xml:space="preserve"> MKT04 </t>
  </si>
  <si>
    <t>EMP031</t>
  </si>
  <si>
    <t>EMP126</t>
  </si>
  <si>
    <t>Davis</t>
  </si>
  <si>
    <t>EMP109</t>
  </si>
  <si>
    <t>James</t>
  </si>
  <si>
    <t>EMP066</t>
  </si>
  <si>
    <t>Ashley</t>
  </si>
  <si>
    <t>Lopez</t>
  </si>
  <si>
    <t>EMP120</t>
  </si>
  <si>
    <t>Amanda</t>
  </si>
  <si>
    <t>EMP019</t>
  </si>
  <si>
    <t>EMP013</t>
  </si>
  <si>
    <t>EMP010</t>
  </si>
  <si>
    <t>EMP032</t>
  </si>
  <si>
    <t xml:space="preserve"> FIN03 </t>
  </si>
  <si>
    <t>EMP082</t>
  </si>
  <si>
    <t>EMP052</t>
  </si>
  <si>
    <t xml:space="preserve"> SAL05 </t>
  </si>
  <si>
    <t>EMP129</t>
  </si>
  <si>
    <t>09/24/2019</t>
  </si>
  <si>
    <t>$77,610</t>
  </si>
  <si>
    <t>EMP146</t>
  </si>
  <si>
    <t>it02</t>
  </si>
  <si>
    <t>$50,873</t>
  </si>
  <si>
    <t>EMP099</t>
  </si>
  <si>
    <t>fin03</t>
  </si>
  <si>
    <t>13-May-18</t>
  </si>
  <si>
    <t>EMP015</t>
  </si>
  <si>
    <t>EMP076</t>
  </si>
  <si>
    <t>05-Aug-15</t>
  </si>
  <si>
    <t>EMP137</t>
  </si>
  <si>
    <t>EMP056</t>
  </si>
  <si>
    <t>Sarah</t>
  </si>
  <si>
    <t>10-Jun-19</t>
  </si>
  <si>
    <t>EMP125</t>
  </si>
  <si>
    <t>HR01</t>
  </si>
  <si>
    <t>EMP085</t>
  </si>
  <si>
    <t>03-Jul-17</t>
  </si>
  <si>
    <t>EMP106</t>
  </si>
  <si>
    <t>01-Sep-15</t>
  </si>
  <si>
    <t>EMP043</t>
  </si>
  <si>
    <t>03-Aug-22</t>
  </si>
  <si>
    <t>EMP068</t>
  </si>
  <si>
    <t>Melissa</t>
  </si>
  <si>
    <t>06/29/2022</t>
  </si>
  <si>
    <t>EMP128</t>
  </si>
  <si>
    <t>left</t>
  </si>
  <si>
    <t>EMP027</t>
  </si>
  <si>
    <t>09/09/2017</t>
  </si>
  <si>
    <t>EMP136</t>
  </si>
  <si>
    <t>EMP079</t>
  </si>
  <si>
    <t>David</t>
  </si>
  <si>
    <t>EMP149</t>
  </si>
  <si>
    <t>$66,606</t>
  </si>
  <si>
    <t>Resigned</t>
  </si>
  <si>
    <t>EMP037</t>
  </si>
  <si>
    <t>EMP077</t>
  </si>
  <si>
    <t>07/14/2016</t>
  </si>
  <si>
    <t>EMP023</t>
  </si>
  <si>
    <t>EMP133</t>
  </si>
  <si>
    <t>10-Jul-19</t>
  </si>
  <si>
    <t>EMP141</t>
  </si>
  <si>
    <t>EMP012</t>
  </si>
  <si>
    <t>EMP080</t>
  </si>
  <si>
    <t>$75,023</t>
  </si>
  <si>
    <t>EMP069</t>
  </si>
  <si>
    <t>EMP150</t>
  </si>
  <si>
    <t>EMP028</t>
  </si>
  <si>
    <t>10/07/2019</t>
  </si>
  <si>
    <t>EMP087</t>
  </si>
  <si>
    <t>EMP119</t>
  </si>
  <si>
    <t>Garcia</t>
  </si>
  <si>
    <t>EMP042</t>
  </si>
  <si>
    <t>Anderson</t>
  </si>
  <si>
    <t>EMP005</t>
  </si>
  <si>
    <t>EMP033</t>
  </si>
  <si>
    <t>hr01</t>
  </si>
  <si>
    <t>02/07/2018</t>
  </si>
  <si>
    <t>EMP061</t>
  </si>
  <si>
    <t>EMP102</t>
  </si>
  <si>
    <t>EMP067</t>
  </si>
  <si>
    <t>EMP017</t>
  </si>
  <si>
    <t>EMP123</t>
  </si>
  <si>
    <t>$75,519</t>
  </si>
  <si>
    <t>EMP011</t>
  </si>
  <si>
    <t>EMP091</t>
  </si>
  <si>
    <t>EMP145</t>
  </si>
  <si>
    <t>11/11/2016</t>
  </si>
  <si>
    <t>$50,936</t>
  </si>
  <si>
    <t>EMP001</t>
  </si>
  <si>
    <t>24-Mar-17</t>
  </si>
  <si>
    <t>$111,240</t>
  </si>
  <si>
    <t>EMP113</t>
  </si>
  <si>
    <t>05-May-19</t>
  </si>
  <si>
    <t>EMP065</t>
  </si>
  <si>
    <t xml:space="preserve"> HR01 </t>
  </si>
  <si>
    <t>EMP045</t>
  </si>
  <si>
    <t>EMP083</t>
  </si>
  <si>
    <t>William</t>
  </si>
  <si>
    <t>EMP029</t>
  </si>
  <si>
    <t>EMP041</t>
  </si>
  <si>
    <t>EMP026</t>
  </si>
  <si>
    <t>EMP024</t>
  </si>
  <si>
    <t>ops06</t>
  </si>
  <si>
    <t>11-Oct-16</t>
  </si>
  <si>
    <t>EMP111</t>
  </si>
  <si>
    <t>EMP040</t>
  </si>
  <si>
    <t>02/19/2017</t>
  </si>
  <si>
    <t>$86,246</t>
  </si>
  <si>
    <t>EMP086</t>
  </si>
  <si>
    <t>09/07/2021</t>
  </si>
  <si>
    <t>EMP124</t>
  </si>
  <si>
    <t>EMP132</t>
  </si>
  <si>
    <t>EMP048</t>
  </si>
  <si>
    <t>09/29/2018</t>
  </si>
  <si>
    <t>$47,694</t>
  </si>
  <si>
    <t>EMP114</t>
  </si>
  <si>
    <t>EMP062</t>
  </si>
  <si>
    <t>EMP074</t>
  </si>
  <si>
    <t>07-Feb-21</t>
  </si>
  <si>
    <t>EMP034</t>
  </si>
  <si>
    <t>10/04/2023</t>
  </si>
  <si>
    <t>EMP105</t>
  </si>
  <si>
    <t>EMP118</t>
  </si>
  <si>
    <t>EMP063</t>
  </si>
  <si>
    <t>27-Nov-19</t>
  </si>
  <si>
    <t>EMP094</t>
  </si>
  <si>
    <t>25-May-17</t>
  </si>
  <si>
    <t>$77,545</t>
  </si>
  <si>
    <t>EMP097</t>
  </si>
  <si>
    <t>EMP054</t>
  </si>
  <si>
    <t>EMP006</t>
  </si>
  <si>
    <t>EMP110</t>
  </si>
  <si>
    <t>$88,056</t>
  </si>
  <si>
    <t>EMP147</t>
  </si>
  <si>
    <t>EMP050</t>
  </si>
  <si>
    <t>$115,288</t>
  </si>
  <si>
    <t>EMP036</t>
  </si>
  <si>
    <t>EMP081</t>
  </si>
  <si>
    <t>EMP078</t>
  </si>
  <si>
    <t>EMP035</t>
  </si>
  <si>
    <t>03/08/2019</t>
  </si>
  <si>
    <t>EMP047</t>
  </si>
  <si>
    <t>11-Mar-15</t>
  </si>
  <si>
    <t>EMP008</t>
  </si>
  <si>
    <t>19-Feb-17</t>
  </si>
  <si>
    <t>EMP044</t>
  </si>
  <si>
    <t>$49,942</t>
  </si>
  <si>
    <t>EMP071</t>
  </si>
  <si>
    <t>EMP115</t>
  </si>
  <si>
    <t>EMP092</t>
  </si>
  <si>
    <t>05/22/2016</t>
  </si>
  <si>
    <t>EMP084</t>
  </si>
  <si>
    <t>EMP142</t>
  </si>
  <si>
    <t>EMP143</t>
  </si>
  <si>
    <t>13-Nov-16</t>
  </si>
  <si>
    <t>$77,737</t>
  </si>
  <si>
    <t>EMP090</t>
  </si>
  <si>
    <t>$95,686</t>
  </si>
  <si>
    <t>EMP009</t>
  </si>
  <si>
    <t>EMP014</t>
  </si>
  <si>
    <t>13-Aug-21</t>
  </si>
  <si>
    <t>$109,121</t>
  </si>
  <si>
    <t>EMP060</t>
  </si>
  <si>
    <t>$112,791</t>
  </si>
  <si>
    <t>EMP135</t>
  </si>
  <si>
    <t>05-Jul-22</t>
  </si>
  <si>
    <t>EMP004</t>
  </si>
  <si>
    <t>07/10/2016</t>
  </si>
  <si>
    <t>EMP018</t>
  </si>
  <si>
    <t>EMP039</t>
  </si>
  <si>
    <t>05/10/2017</t>
  </si>
  <si>
    <t>EMP073</t>
  </si>
  <si>
    <t>EMP138</t>
  </si>
  <si>
    <t>04/20/2023</t>
  </si>
  <si>
    <t>EMP007</t>
  </si>
  <si>
    <t>EMP144</t>
  </si>
  <si>
    <t>24-Oct-21</t>
  </si>
  <si>
    <t>EMP101</t>
  </si>
  <si>
    <t>EMP003</t>
  </si>
  <si>
    <t>EMP121</t>
  </si>
  <si>
    <t>10-Aug-20</t>
  </si>
  <si>
    <t>$68,092</t>
  </si>
  <si>
    <t>EMP064</t>
  </si>
  <si>
    <t>EMP116</t>
  </si>
  <si>
    <t>24-Mar-18</t>
  </si>
  <si>
    <t>EMP055</t>
  </si>
  <si>
    <t>EMP108</t>
  </si>
  <si>
    <t>EMP051</t>
  </si>
  <si>
    <t>04-Mar-16</t>
  </si>
  <si>
    <t>EMP059</t>
  </si>
  <si>
    <t>EMP049</t>
  </si>
  <si>
    <t>28-Jul-17</t>
  </si>
  <si>
    <t>$115,618</t>
  </si>
  <si>
    <t>EMP089</t>
  </si>
  <si>
    <t>05/11/2023</t>
  </si>
  <si>
    <t>$110,618</t>
  </si>
  <si>
    <t>EMP022</t>
  </si>
  <si>
    <t>19-Mar-22</t>
  </si>
  <si>
    <t>EMP058</t>
  </si>
  <si>
    <t>EMP130</t>
  </si>
  <si>
    <t>08/29/2021</t>
  </si>
  <si>
    <t>EMP038</t>
  </si>
  <si>
    <t>$61,547</t>
  </si>
  <si>
    <t>EMP148</t>
  </si>
  <si>
    <t>EMP002</t>
  </si>
  <si>
    <t>03-Oct-17</t>
  </si>
  <si>
    <t>EMP053</t>
  </si>
  <si>
    <t>10/22/2015</t>
  </si>
  <si>
    <t>EMP131</t>
  </si>
  <si>
    <t>EMP104</t>
  </si>
  <si>
    <t>EMP100</t>
  </si>
  <si>
    <t>EMP117</t>
  </si>
  <si>
    <t>$108,119</t>
  </si>
  <si>
    <t>EMP088</t>
  </si>
  <si>
    <t>EMP075</t>
  </si>
  <si>
    <t>EMP122</t>
  </si>
  <si>
    <t>01/12/2019</t>
  </si>
  <si>
    <t>EMP021</t>
  </si>
  <si>
    <t>EMP072</t>
  </si>
  <si>
    <t>EMP107</t>
  </si>
  <si>
    <t>EMP093</t>
  </si>
  <si>
    <t>03-Nov-16</t>
  </si>
  <si>
    <t>EMP103</t>
  </si>
  <si>
    <t>$118,634</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</si>
  <si>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</si>
  <si>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</si>
  <si>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</si>
  <si>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</si>
  <si>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</si>
  <si>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</si>
  <si>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</si>
  <si>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</si>
  <si>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</si>
  <si>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</si>
  <si>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</si>
  <si>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</si>
  <si>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</si>
  <si>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</si>
  <si>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</si>
  <si>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</si>
  <si>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</si>
  <si>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ACTIVE</t>
  </si>
  <si>
    <t>LEFT</t>
  </si>
  <si>
    <t>Final Salary</t>
  </si>
  <si>
    <t>Final Perf_Score</t>
  </si>
  <si>
    <t>Department Name</t>
  </si>
  <si>
    <t>Full_name</t>
  </si>
  <si>
    <t>Years of Service</t>
  </si>
  <si>
    <t>Performance Band</t>
  </si>
  <si>
    <t>Eligible Bonus Amount</t>
  </si>
  <si>
    <t>Head count and salary</t>
  </si>
  <si>
    <t>Row Labels</t>
  </si>
  <si>
    <t>Grand Total</t>
  </si>
  <si>
    <t>Count of Emp ID</t>
  </si>
  <si>
    <t>Average of Final Salary</t>
  </si>
  <si>
    <t>Attrition rate</t>
  </si>
  <si>
    <t>Attrition Flag</t>
  </si>
  <si>
    <t>Average of Attrition Flag</t>
  </si>
  <si>
    <t>Performance by Status</t>
  </si>
  <si>
    <t>Average of Final Perf_Score</t>
  </si>
  <si>
    <t>Bonus Payout</t>
  </si>
  <si>
    <t>Sum of Eligible Bonus Amount</t>
  </si>
  <si>
    <t>KPI</t>
  </si>
  <si>
    <t>Total Employees</t>
  </si>
  <si>
    <t>Average Salary</t>
  </si>
  <si>
    <t>Attrition Rate.</t>
  </si>
  <si>
    <t>Projected Bonus Payout</t>
  </si>
  <si>
    <t>Headcount By Department</t>
  </si>
  <si>
    <t>Average Departmental Salary</t>
  </si>
  <si>
    <t>Sum of Final Perf_Score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</si>
</sst>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quot;$&quot;#,##0"/>
    <numFmt numFmtId="166" formatCode="0.0%"/>
    <numFmt numFmtId="167" formatCode="0.0"/>
  </numFmts>
  <fonts count="5" x14ac:knownFonts="1">
    <font>
      <sz val="11"/>
      <color theme="1"/>
      <name val="Calibri"/>
      <family val="2"/>
      <scheme val="minor"/>
    </font>
    <font>
      <b/>
      <sz val="11"/>
      <name val="Calibri"/>
    </font>
    <font>
      <b/>
      <sz val="11"/>
      <name val="Calibri"/>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4" fontId="0" fillId="0" borderId="0" xfId="0" applyNumberFormat="1"/>
    <xf numFmtId="0" fontId="2" fillId="0" borderId="2" xfId="0" applyFont="1" applyBorder="1" applyAlignment="1">
      <alignment horizontal="center" vertical="top"/>
    </xf>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9" fontId="0" fillId="0" borderId="0" xfId="0" applyNumberFormat="1"/>
    <xf numFmtId="166" fontId="0" fillId="0" borderId="0" xfId="0" applyNumberFormat="1"/>
    <xf numFmtId="0" fontId="4" fillId="2" borderId="0" xfId="0" applyFont="1" applyFill="1"/>
    <xf numFmtId="167" fontId="0" fillId="0" borderId="0" xfId="0" applyNumberFormat="1"/>
    <xf numFmtId="0" fontId="3" fillId="3" borderId="0" xfId="0" applyFont="1" applyFill="1"/>
    <xf numFmtId="0" fontId="0" fillId="0" borderId="0" xfId="0" applyNumberFormat="1"/>
  </cellXfs>
  <cellStyles count="1">
    <cellStyle name="Normal" xfId="0" builtinId="0"/>
  </cellStyles>
  <dxfs count="21">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65" formatCode="&quot;$&quot;#,##0"/>
    </dxf>
    <dxf>
      <numFmt numFmtId="0" formatCode="General"/>
    </dxf>
    <dxf>
      <numFmt numFmtId="165" formatCode="&quot;$&quot;#,##0"/>
    </dxf>
    <dxf>
      <numFmt numFmtId="0" formatCode="General"/>
    </dxf>
    <dxf>
      <numFmt numFmtId="1" formatCode="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rgb="FF002060"/>
        <name val="Cambria"/>
        <family val="1"/>
        <scheme val="major"/>
      </font>
      <fill>
        <patternFill patternType="solid">
          <fgColor theme="3" tint="-0.499984740745262"/>
          <bgColor rgb="FFFFC000"/>
        </patternFill>
      </fill>
      <border>
        <left style="thin">
          <color rgb="FF002060"/>
        </left>
        <right style="thin">
          <color rgb="FF002060"/>
        </right>
        <top style="thin">
          <color rgb="FF002060"/>
        </top>
        <bottom style="thin">
          <color rgb="FF002060"/>
        </bottom>
        <horizontal/>
      </border>
    </dxf>
    <dxf>
      <font>
        <b/>
        <i val="0"/>
        <color rgb="FF002060"/>
        <name val="Cambria"/>
        <family val="1"/>
        <scheme val="major"/>
      </font>
      <fill>
        <patternFill patternType="solid">
          <fgColor theme="3" tint="-0.499984740745262"/>
          <bgColor rgb="FFFFC000"/>
        </patternFill>
      </fill>
      <border>
        <left style="thin">
          <color rgb="FF002060"/>
        </left>
        <right style="thin">
          <color rgb="FF002060"/>
        </right>
        <top style="thin">
          <color rgb="FF002060"/>
        </top>
        <bottom style="thin">
          <color rgb="FF002060"/>
        </bottom>
        <horizontal/>
      </border>
    </dxf>
  </dxfs>
  <tableStyles count="2" defaultTableStyle="TableStyleMedium9" defaultPivotStyle="PivotStyleLight16">
    <tableStyle name="Slicer Style 1" pivot="0" table="0" count="1" xr9:uid="{5B57D1F8-9AFD-4D34-8143-8C81B7D4FB96}">
      <tableStyleElement type="wholeTable" dxfId="20"/>
    </tableStyle>
    <tableStyle name="Slicer Style 1 2" pivot="0" table="0" count="2" xr9:uid="{DB297F0B-DCF7-46E2-93A5-B882ADA8DA28}">
      <tableStyleElement type="wholeTable" dxfId="19"/>
    </tableStyle>
  </tableStyles>
  <extLst>
    <ext xmlns:x14="http://schemas.microsoft.com/office/spreadsheetml/2009/9/main" uri="{46F421CA-312F-682f-3DD2-61675219B42D}">
      <x14:dxfs count="1">
        <dxf>
          <font>
            <color theme="0"/>
            <name val="Cambria"/>
            <family val="1"/>
            <scheme val="major"/>
          </font>
          <fill>
            <patternFill>
              <bgColor rgb="FF002060"/>
            </patternFill>
          </fill>
        </dxf>
      </x14:dxfs>
    </ext>
    <ext xmlns:x14="http://schemas.microsoft.com/office/spreadsheetml/2009/9/main" uri="{EB79DEF2-80B8-43e5-95BD-54CBDDF9020C}">
      <x14:slicerStyles defaultSlicerStyle="SlicerStyleLight1">
        <x14:slicerStyle name="Slicer Style 1"/>
        <x14:slicerStyle name="Slicer Style 1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[HR_Capstone_Completed_OKESANJO ABDUL-AZEEM.xlsx]Analysis!PivotTable1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Head count and salary</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1.1111111111111112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2.7777777777777828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3.0555555555555555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1.1111111111111112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5.5555555555555552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75131233595799"/>
          <c:y val="0.20312554680664918"/>
          <c:w val="0.59654265091863512"/>
          <c:h val="0.60151210265383492"/>
        </c:manualLayout>
      </c:layout>
      <c:barChart>
        <c:barDir val="col"/>
        <c:grouping val="clustered"/>
        <c:varyColors val="0"/>
        <c:ser>
          <c:idx val="0"/>
          <c:order val="0"/>
          <c:tx>
            <c:strRef>
              <c:f>Analysis!$B$2</c:f>
              <c:strCache>
                <c:ptCount val="1"/>
                <c:pt idx="0">
                  <c:v>Count of Emp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Analysis!$A$3:$A$9</c:f>
              <c:strCache>
                <c:ptCount val="6"/>
                <c:pt idx="0">
                  <c:v>Finance</c:v>
                </c:pt>
                <c:pt idx="1">
                  <c:v>Human Resources</c:v>
                </c:pt>
                <c:pt idx="2">
                  <c:v>Information Technology</c:v>
                </c:pt>
                <c:pt idx="3">
                  <c:v>Marketing</c:v>
                </c:pt>
                <c:pt idx="4">
                  <c:v>Operations</c:v>
                </c:pt>
                <c:pt idx="5">
                  <c:v>Sales</c:v>
                </c:pt>
              </c:strCache>
            </c:strRef>
          </c:cat>
          <c:val>
            <c:numRef>
              <c:f>Analysis!$B$3:$B$9</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0-351C-441F-8457-56A4A5083A55}"/>
            </c:ext>
          </c:extLst>
        </c:ser>
        <c:dLbls>
          <c:dLblPos val="outEnd"/>
          <c:showLegendKey val="0"/>
          <c:showVal val="1"/>
          <c:showCatName val="0"/>
          <c:showSerName val="0"/>
          <c:showPercent val="0"/>
          <c:showBubbleSize val="0"/>
        </c:dLbls>
        <c:gapWidth val="241"/>
        <c:axId val="494752703"/>
        <c:axId val="494757023"/>
      </c:barChart>
      <c:lineChart>
        <c:grouping val="standard"/>
        <c:varyColors val="0"/>
        <c:ser>
          <c:idx val="1"/>
          <c:order val="1"/>
          <c:tx>
            <c:strRef>
              <c:f>Analysis!$C$2</c:f>
              <c:strCache>
                <c:ptCount val="1"/>
                <c:pt idx="0">
                  <c:v>Average of Final Salary</c:v>
                </c:pt>
              </c:strCache>
            </c:strRef>
          </c:tx>
          <c:spPr>
            <a:ln w="28575" cap="rnd">
              <a:solidFill>
                <a:schemeClr val="accent2"/>
              </a:solidFill>
              <a:round/>
            </a:ln>
            <a:effectLst/>
          </c:spPr>
          <c:marker>
            <c:symbol val="none"/>
          </c:marker>
          <c:dPt>
            <c:idx val="1"/>
            <c:marker>
              <c:symbol val="none"/>
            </c:marker>
            <c:bubble3D val="0"/>
            <c:extLst>
              <c:ext xmlns:c16="http://schemas.microsoft.com/office/drawing/2014/chart" uri="{C3380CC4-5D6E-409C-BE32-E72D297353CC}">
                <c16:uniqueId val="{00000002-351C-441F-8457-56A4A5083A55}"/>
              </c:ext>
            </c:extLst>
          </c:dPt>
          <c:dPt>
            <c:idx val="2"/>
            <c:marker>
              <c:symbol val="none"/>
            </c:marker>
            <c:bubble3D val="0"/>
            <c:extLst>
              <c:ext xmlns:c16="http://schemas.microsoft.com/office/drawing/2014/chart" uri="{C3380CC4-5D6E-409C-BE32-E72D297353CC}">
                <c16:uniqueId val="{00000003-351C-441F-8457-56A4A5083A55}"/>
              </c:ext>
            </c:extLst>
          </c:dPt>
          <c:dPt>
            <c:idx val="3"/>
            <c:marker>
              <c:symbol val="none"/>
            </c:marker>
            <c:bubble3D val="0"/>
            <c:extLst>
              <c:ext xmlns:c16="http://schemas.microsoft.com/office/drawing/2014/chart" uri="{C3380CC4-5D6E-409C-BE32-E72D297353CC}">
                <c16:uniqueId val="{00000004-351C-441F-8457-56A4A5083A55}"/>
              </c:ext>
            </c:extLst>
          </c:dPt>
          <c:dPt>
            <c:idx val="4"/>
            <c:marker>
              <c:symbol val="none"/>
            </c:marker>
            <c:bubble3D val="0"/>
            <c:extLst>
              <c:ext xmlns:c16="http://schemas.microsoft.com/office/drawing/2014/chart" uri="{C3380CC4-5D6E-409C-BE32-E72D297353CC}">
                <c16:uniqueId val="{00000005-351C-441F-8457-56A4A5083A55}"/>
              </c:ext>
            </c:extLst>
          </c:dPt>
          <c:dPt>
            <c:idx val="5"/>
            <c:marker>
              <c:symbol val="none"/>
            </c:marker>
            <c:bubble3D val="0"/>
            <c:extLst>
              <c:ext xmlns:c16="http://schemas.microsoft.com/office/drawing/2014/chart" uri="{C3380CC4-5D6E-409C-BE32-E72D297353CC}">
                <c16:uniqueId val="{00000006-351C-441F-8457-56A4A5083A55}"/>
              </c:ext>
            </c:extLst>
          </c:dPt>
          <c:dLbls>
            <c:dLbl>
              <c:idx val="1"/>
              <c:layout>
                <c:manualLayout>
                  <c:x val="-1.1111111111111112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1C-441F-8457-56A4A5083A55}"/>
                </c:ext>
              </c:extLst>
            </c:dLbl>
            <c:dLbl>
              <c:idx val="2"/>
              <c:layout>
                <c:manualLayout>
                  <c:x val="-2.7777777777777828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1C-441F-8457-56A4A5083A55}"/>
                </c:ext>
              </c:extLst>
            </c:dLbl>
            <c:dLbl>
              <c:idx val="3"/>
              <c:layout>
                <c:manualLayout>
                  <c:x val="-3.0555555555555555E-2"/>
                  <c:y val="-1.3888888888888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51C-441F-8457-56A4A5083A55}"/>
                </c:ext>
              </c:extLst>
            </c:dLbl>
            <c:dLbl>
              <c:idx val="4"/>
              <c:layout>
                <c:manualLayout>
                  <c:x val="-1.1111111111111112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1C-441F-8457-56A4A5083A55}"/>
                </c:ext>
              </c:extLst>
            </c:dLbl>
            <c:dLbl>
              <c:idx val="5"/>
              <c:layout>
                <c:manualLayout>
                  <c:x val="-5.5555555555555552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51C-441F-8457-56A4A5083A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Analysis!$A$3:$A$9</c:f>
              <c:strCache>
                <c:ptCount val="6"/>
                <c:pt idx="0">
                  <c:v>Finance</c:v>
                </c:pt>
                <c:pt idx="1">
                  <c:v>Human Resources</c:v>
                </c:pt>
                <c:pt idx="2">
                  <c:v>Information Technology</c:v>
                </c:pt>
                <c:pt idx="3">
                  <c:v>Marketing</c:v>
                </c:pt>
                <c:pt idx="4">
                  <c:v>Operations</c:v>
                </c:pt>
                <c:pt idx="5">
                  <c:v>Sales</c:v>
                </c:pt>
              </c:strCache>
            </c:strRef>
          </c:cat>
          <c:val>
            <c:numRef>
              <c:f>Analysis!$C$3:$C$9</c:f>
              <c:numCache>
                <c:formatCode>"$"#,##0</c:formatCode>
                <c:ptCount val="6"/>
                <c:pt idx="0">
                  <c:v>87938.588235294112</c:v>
                </c:pt>
                <c:pt idx="1">
                  <c:v>85649.944444444438</c:v>
                </c:pt>
                <c:pt idx="2">
                  <c:v>80014.361111111109</c:v>
                </c:pt>
                <c:pt idx="3">
                  <c:v>85508.210526315786</c:v>
                </c:pt>
                <c:pt idx="4">
                  <c:v>79786.68965517242</c:v>
                </c:pt>
                <c:pt idx="5">
                  <c:v>87282.516129032258</c:v>
                </c:pt>
              </c:numCache>
            </c:numRef>
          </c:val>
          <c:smooth val="0"/>
          <c:extLst>
            <c:ext xmlns:c16="http://schemas.microsoft.com/office/drawing/2014/chart" uri="{C3380CC4-5D6E-409C-BE32-E72D297353CC}">
              <c16:uniqueId val="{00000001-351C-441F-8457-56A4A5083A55}"/>
            </c:ext>
          </c:extLst>
        </c:ser>
        <c:dLbls>
          <c:showLegendKey val="0"/>
          <c:showVal val="0"/>
          <c:showCatName val="0"/>
          <c:showSerName val="0"/>
          <c:showPercent val="0"/>
          <c:showBubbleSize val="0"/>
        </c:dLbls>
        <c:marker val="1"/>
        <c:smooth val="0"/>
        <c:axId val="828070303"/>
        <c:axId val="828056863"/>
      </c:lineChart>
      <c:catAx>
        <c:axId val="494752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757023"/>
        <c:crosses val="autoZero"/>
        <c:auto val="1"/>
        <c:lblAlgn val="ctr"/>
        <c:lblOffset val="100"/>
        <c:noMultiLvlLbl val="0"/>
      </c:catAx>
      <c:valAx>
        <c:axId val="4947570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752703"/>
        <c:crosses val="autoZero"/>
        <c:crossBetween val="between"/>
      </c:valAx>
      <c:valAx>
        <c:axId val="828056863"/>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70303"/>
        <c:crosses val="max"/>
        <c:crossBetween val="between"/>
      </c:valAx>
      <c:catAx>
        <c:axId val="828070303"/>
        <c:scaling>
          <c:orientation val="minMax"/>
        </c:scaling>
        <c:delete val="1"/>
        <c:axPos val="b"/>
        <c:numFmt formatCode="General" sourceLinked="1"/>
        <c:majorTickMark val="out"/>
        <c:minorTickMark val="none"/>
        <c:tickLblPos val="nextTo"/>
        <c:crossAx val="828056863"/>
        <c:crosses val="autoZero"/>
        <c:auto val="1"/>
        <c:lblAlgn val="ctr"/>
        <c:lblOffset val="100"/>
        <c:noMultiLvlLbl val="0"/>
      </c:catAx>
      <c:spPr>
        <a:noFill/>
        <a:ln>
          <a:noFill/>
        </a:ln>
        <a:effectLst/>
      </c:spPr>
    </c:plotArea>
    <c:legend>
      <c:legendPos val="t"/>
      <c:layout>
        <c:manualLayout>
          <c:xMode val="edge"/>
          <c:yMode val="edge"/>
          <c:x val="0.13234864391951007"/>
          <c:y val="0.12541666666666668"/>
          <c:w val="0.6353027121609798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[HR_Capstone_Completed_OKESANJO ABDUL-AZEEM.xlsx]Analysis!PivotTable3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Attrition rate</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c:f>
              <c:strCache>
                <c:ptCount val="1"/>
                <c:pt idx="0">
                  <c:v>Total</c:v>
                </c:pt>
              </c:strCache>
            </c:strRef>
          </c:tx>
          <c:spPr>
            <a:solidFill>
              <a:schemeClr val="accent1"/>
            </a:solidFill>
            <a:ln>
              <a:noFill/>
            </a:ln>
            <a:effectLst/>
          </c:spPr>
          <c:invertIfNegative val="0"/>
          <c:cat>
            <c:strRef>
              <c:f>Analysis!$A$14:$A$20</c:f>
              <c:strCache>
                <c:ptCount val="6"/>
                <c:pt idx="0">
                  <c:v>Finance</c:v>
                </c:pt>
                <c:pt idx="1">
                  <c:v>Human Resources</c:v>
                </c:pt>
                <c:pt idx="2">
                  <c:v>Information Technology</c:v>
                </c:pt>
                <c:pt idx="3">
                  <c:v>Marketing</c:v>
                </c:pt>
                <c:pt idx="4">
                  <c:v>Operations</c:v>
                </c:pt>
                <c:pt idx="5">
                  <c:v>Sales</c:v>
                </c:pt>
              </c:strCache>
            </c:strRef>
          </c:cat>
          <c:val>
            <c:numRef>
              <c:f>Analysis!$B$14:$B$20</c:f>
              <c:numCache>
                <c:formatCode>0%</c:formatCode>
                <c:ptCount val="6"/>
                <c:pt idx="0">
                  <c:v>0.17647058823529413</c:v>
                </c:pt>
                <c:pt idx="1">
                  <c:v>0.16666666666666666</c:v>
                </c:pt>
                <c:pt idx="2">
                  <c:v>0.22222222222222221</c:v>
                </c:pt>
                <c:pt idx="3">
                  <c:v>0.15789473684210525</c:v>
                </c:pt>
                <c:pt idx="4">
                  <c:v>0.37931034482758619</c:v>
                </c:pt>
                <c:pt idx="5">
                  <c:v>0.19354838709677419</c:v>
                </c:pt>
              </c:numCache>
            </c:numRef>
          </c:val>
          <c:extLst>
            <c:ext xmlns:c16="http://schemas.microsoft.com/office/drawing/2014/chart" uri="{C3380CC4-5D6E-409C-BE32-E72D297353CC}">
              <c16:uniqueId val="{00000000-3031-4700-AEAD-02CAD287E093}"/>
            </c:ext>
          </c:extLst>
        </c:ser>
        <c:dLbls>
          <c:showLegendKey val="0"/>
          <c:showVal val="0"/>
          <c:showCatName val="0"/>
          <c:showSerName val="0"/>
          <c:showPercent val="0"/>
          <c:showBubbleSize val="0"/>
        </c:dLbls>
        <c:gapWidth val="219"/>
        <c:overlap val="-27"/>
        <c:axId val="494722463"/>
        <c:axId val="494747903"/>
      </c:barChart>
      <c:catAx>
        <c:axId val="49472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747903"/>
        <c:crosses val="autoZero"/>
        <c:auto val="1"/>
        <c:lblAlgn val="ctr"/>
        <c:lblOffset val="100"/>
        <c:noMultiLvlLbl val="0"/>
      </c:catAx>
      <c:valAx>
        <c:axId val="494747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72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[HR_Capstone_Completed_OKESANJO ABDUL-AZEEM.xlsx]Analysis!PivotTable4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by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Analysis!$B$24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156-4964-99FE-5C59DAEE8DC3}"/>
              </c:ext>
            </c:extLst>
          </c:dPt>
          <c:dPt>
            <c:idx val="1"/>
            <c:bubble3D val="0"/>
            <c:spPr>
              <a:solidFill>
                <a:schemeClr val="accent2"/>
              </a:solidFill>
              <a:ln>
                <a:noFill/>
              </a:ln>
              <a:effectLst/>
            </c:spPr>
            <c:extLst>
              <c:ext xmlns:c16="http://schemas.microsoft.com/office/drawing/2014/chart" uri="{C3380CC4-5D6E-409C-BE32-E72D297353CC}">
                <c16:uniqueId val="{00000003-1156-4964-99FE-5C59DAEE8DC3}"/>
              </c:ext>
            </c:extLst>
          </c:dPt>
          <c:cat>
            <c:strRef>
              <c:f>Analysis!$A$25:$A$27</c:f>
              <c:strCache>
                <c:ptCount val="2"/>
                <c:pt idx="0">
                  <c:v>ACTIVE</c:v>
                </c:pt>
                <c:pt idx="1">
                  <c:v>LEFT</c:v>
                </c:pt>
              </c:strCache>
            </c:strRef>
          </c:cat>
          <c:val>
            <c:numRef>
              <c:f>Analysis!$B$25:$B$27</c:f>
              <c:numCache>
                <c:formatCode>0.0</c:formatCode>
                <c:ptCount val="2"/>
                <c:pt idx="0">
                  <c:v>67.965517241379317</c:v>
                </c:pt>
                <c:pt idx="1">
                  <c:v>69.147058823529406</c:v>
                </c:pt>
              </c:numCache>
            </c:numRef>
          </c:val>
          <c:extLst>
            <c:ext xmlns:c16="http://schemas.microsoft.com/office/drawing/2014/chart" uri="{C3380CC4-5D6E-409C-BE32-E72D297353CC}">
              <c16:uniqueId val="{00000000-A706-44E8-B02A-3198BA9A8C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[HR_Capstone_Completed_OKESANJO ABDUL-AZEEM.xlsx]Analysis!PivotTable5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Bonus Payout</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Analysis!$B$31</c:f>
              <c:strCache>
                <c:ptCount val="1"/>
                <c:pt idx="0">
                  <c:v>Total</c:v>
                </c:pt>
              </c:strCache>
            </c:strRef>
          </c:tx>
          <c:spPr>
            <a:solidFill>
              <a:schemeClr val="accent1"/>
            </a:solidFill>
            <a:ln>
              <a:noFill/>
            </a:ln>
            <a:effectLst/>
          </c:spPr>
          <c:invertIfNegative val="0"/>
          <c:cat>
            <c:strRef>
              <c:f>Analysis!$A$32:$A$37</c:f>
              <c:strCache>
                <c:ptCount val="5"/>
                <c:pt idx="0">
                  <c:v>Achieving</c:v>
                </c:pt>
                <c:pt idx="1">
                  <c:v>Developing</c:v>
                </c:pt>
                <c:pt idx="2">
                  <c:v>Exceeding</c:v>
                </c:pt>
                <c:pt idx="3">
                  <c:v>Needs Improvement</c:v>
                </c:pt>
                <c:pt idx="4">
                  <c:v>Outstanding</c:v>
                </c:pt>
              </c:strCache>
            </c:strRef>
          </c:cat>
          <c:val>
            <c:numRef>
              <c:f>Analysis!$B$32:$B$37</c:f>
              <c:numCache>
                <c:formatCode>"$"#,##0</c:formatCode>
                <c:ptCount val="5"/>
                <c:pt idx="0">
                  <c:v>190093.4</c:v>
                </c:pt>
                <c:pt idx="1">
                  <c:v>75052.600000000006</c:v>
                </c:pt>
                <c:pt idx="2">
                  <c:v>145136.16000000003</c:v>
                </c:pt>
                <c:pt idx="3">
                  <c:v>0</c:v>
                </c:pt>
                <c:pt idx="4">
                  <c:v>91980.840000000011</c:v>
                </c:pt>
              </c:numCache>
            </c:numRef>
          </c:val>
          <c:extLst>
            <c:ext xmlns:c16="http://schemas.microsoft.com/office/drawing/2014/chart" uri="{C3380CC4-5D6E-409C-BE32-E72D297353CC}">
              <c16:uniqueId val="{00000000-0B42-425B-95D0-2DD90B9EF489}"/>
            </c:ext>
          </c:extLst>
        </c:ser>
        <c:dLbls>
          <c:showLegendKey val="0"/>
          <c:showVal val="0"/>
          <c:showCatName val="0"/>
          <c:showSerName val="0"/>
          <c:showPercent val="0"/>
          <c:showBubbleSize val="0"/>
        </c:dLbls>
        <c:gapWidth val="219"/>
        <c:overlap val="-27"/>
        <c:axId val="791139919"/>
        <c:axId val="791132719"/>
      </c:barChart>
      <c:catAx>
        <c:axId val="79113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32719"/>
        <c:crosses val="autoZero"/>
        <c:auto val="1"/>
        <c:lblAlgn val="ctr"/>
        <c:lblOffset val="100"/>
        <c:noMultiLvlLbl val="0"/>
      </c:catAx>
      <c:valAx>
        <c:axId val="791132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3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[HR_Capstone_Completed_OKESANJO ABDUL-AZEEM.xlsx]Analysis!PivotTable10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Departmental</a:t>
            </a:r>
            <a:r>
              <a:rPr lang="en-US" baseline="0"/>
              <a:t> Headcount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Analysis!$B$41</c:f>
              <c:strCache>
                <c:ptCount val="1"/>
                <c:pt idx="0">
                  <c:v>Total</c:v>
                </c:pt>
              </c:strCache>
            </c:strRef>
          </c:tx>
          <c:spPr>
            <a:solidFill>
              <a:schemeClr val="accent1"/>
            </a:solidFill>
            <a:ln>
              <a:noFill/>
            </a:ln>
            <a:effectLst/>
          </c:spPr>
          <c:invertIfNegative val="0"/>
          <c:cat>
            <c:strRef>
              <c:f>Analysis!$A$42:$A$48</c:f>
              <c:strCache>
                <c:ptCount val="6"/>
                <c:pt idx="0">
                  <c:v>Finance</c:v>
                </c:pt>
                <c:pt idx="1">
                  <c:v>Human Resources</c:v>
                </c:pt>
                <c:pt idx="2">
                  <c:v>Information Technology</c:v>
                </c:pt>
                <c:pt idx="3">
                  <c:v>Marketing</c:v>
                </c:pt>
                <c:pt idx="4">
                  <c:v>Operations</c:v>
                </c:pt>
                <c:pt idx="5">
                  <c:v>Sales</c:v>
                </c:pt>
              </c:strCache>
            </c:strRef>
          </c:cat>
          <c:val>
            <c:numRef>
              <c:f>Analysis!$B$42:$B$48</c:f>
              <c:numCache>
                <c:formatCode>0%</c:formatCode>
                <c:ptCount val="6"/>
                <c:pt idx="0">
                  <c:v>0.11333333333333333</c:v>
                </c:pt>
                <c:pt idx="1">
                  <c:v>0.12</c:v>
                </c:pt>
                <c:pt idx="2">
                  <c:v>0.24</c:v>
                </c:pt>
                <c:pt idx="3">
                  <c:v>0.12666666666666668</c:v>
                </c:pt>
                <c:pt idx="4">
                  <c:v>0.19333333333333333</c:v>
                </c:pt>
                <c:pt idx="5">
                  <c:v>0.20666666666666667</c:v>
                </c:pt>
              </c:numCache>
            </c:numRef>
          </c:val>
          <c:extLst>
            <c:ext xmlns:c16="http://schemas.microsoft.com/office/drawing/2014/chart" uri="{C3380CC4-5D6E-409C-BE32-E72D297353CC}">
              <c16:uniqueId val="{00000000-3084-4550-ADBC-F0997E0D0A23}"/>
            </c:ext>
          </c:extLst>
        </c:ser>
        <c:dLbls>
          <c:showLegendKey val="0"/>
          <c:showVal val="0"/>
          <c:showCatName val="0"/>
          <c:showSerName val="0"/>
          <c:showPercent val="0"/>
          <c:showBubbleSize val="0"/>
        </c:dLbls>
        <c:gapWidth val="182"/>
        <c:axId val="791085679"/>
        <c:axId val="791103919"/>
      </c:barChart>
      <c:catAx>
        <c:axId val="791085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03919"/>
        <c:crosses val="autoZero"/>
        <c:auto val="1"/>
        <c:lblAlgn val="ctr"/>
        <c:lblOffset val="100"/>
        <c:noMultiLvlLbl val="0"/>
      </c:catAx>
      <c:valAx>
        <c:axId val="7911039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8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[HR_Capstone_Completed_OKESANJO ABDUL-AZEEM.xlsx]Analysis!PivotTable11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Average Departmental Salary</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Analysis!$B$52</c:f>
              <c:strCache>
                <c:ptCount val="1"/>
                <c:pt idx="0">
                  <c:v>Total</c:v>
                </c:pt>
              </c:strCache>
            </c:strRef>
          </c:tx>
          <c:spPr>
            <a:solidFill>
              <a:schemeClr val="accent1"/>
            </a:solidFill>
            <a:ln>
              <a:noFill/>
            </a:ln>
            <a:effectLst/>
          </c:spPr>
          <c:invertIfNegative val="0"/>
          <c:cat>
            <c:strRef>
              <c:f>Analysis!$A$53:$A$59</c:f>
              <c:strCache>
                <c:ptCount val="6"/>
                <c:pt idx="0">
                  <c:v>Finance</c:v>
                </c:pt>
                <c:pt idx="1">
                  <c:v>Human Resources</c:v>
                </c:pt>
                <c:pt idx="2">
                  <c:v>Information Technology</c:v>
                </c:pt>
                <c:pt idx="3">
                  <c:v>Marketing</c:v>
                </c:pt>
                <c:pt idx="4">
                  <c:v>Operations</c:v>
                </c:pt>
                <c:pt idx="5">
                  <c:v>Sales</c:v>
                </c:pt>
              </c:strCache>
            </c:strRef>
          </c:cat>
          <c:val>
            <c:numRef>
              <c:f>Analysis!$B$53:$B$59</c:f>
              <c:numCache>
                <c:formatCode>"$"#,##0</c:formatCode>
                <c:ptCount val="6"/>
                <c:pt idx="0">
                  <c:v>87938.588235294112</c:v>
                </c:pt>
                <c:pt idx="1">
                  <c:v>85649.944444444438</c:v>
                </c:pt>
                <c:pt idx="2">
                  <c:v>80014.361111111109</c:v>
                </c:pt>
                <c:pt idx="3">
                  <c:v>85508.210526315786</c:v>
                </c:pt>
                <c:pt idx="4">
                  <c:v>79786.68965517242</c:v>
                </c:pt>
                <c:pt idx="5">
                  <c:v>87282.516129032258</c:v>
                </c:pt>
              </c:numCache>
            </c:numRef>
          </c:val>
          <c:extLst>
            <c:ext xmlns:c16="http://schemas.microsoft.com/office/drawing/2014/chart" uri="{C3380CC4-5D6E-409C-BE32-E72D297353CC}">
              <c16:uniqueId val="{00000000-46AA-4E33-B12B-3EACEFACC609}"/>
            </c:ext>
          </c:extLst>
        </c:ser>
        <c:dLbls>
          <c:showLegendKey val="0"/>
          <c:showVal val="0"/>
          <c:showCatName val="0"/>
          <c:showSerName val="0"/>
          <c:showPercent val="0"/>
          <c:showBubbleSize val="0"/>
        </c:dLbls>
        <c:gapWidth val="219"/>
        <c:overlap val="-27"/>
        <c:axId val="791146159"/>
        <c:axId val="791123599"/>
      </c:barChart>
      <c:catAx>
        <c:axId val="79114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23599"/>
        <c:crosses val="autoZero"/>
        <c:auto val="1"/>
        <c:lblAlgn val="ctr"/>
        <c:lblOffset val="100"/>
        <c:noMultiLvlLbl val="0"/>
      </c:catAx>
      <c:valAx>
        <c:axId val="7911235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4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[HR_Capstone_Completed_OKESANJO ABDUL-AZEEM.xlsx]Analysis!PivotTable2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Performance Gap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Analysis!$B$64</c:f>
              <c:strCache>
                <c:ptCount val="1"/>
                <c:pt idx="0">
                  <c:v>Total</c:v>
                </c:pt>
              </c:strCache>
            </c:strRef>
          </c:tx>
          <c:spPr>
            <a:solidFill>
              <a:schemeClr val="accent1"/>
            </a:solidFill>
            <a:ln>
              <a:noFill/>
            </a:ln>
            <a:effectLst/>
          </c:spPr>
          <c:invertIfNegative val="0"/>
          <c:cat>
            <c:strRef>
              <c:f>Analysis!$A$65:$A$71</c:f>
              <c:strCache>
                <c:ptCount val="6"/>
                <c:pt idx="0">
                  <c:v>Finance</c:v>
                </c:pt>
                <c:pt idx="1">
                  <c:v>Human Resources</c:v>
                </c:pt>
                <c:pt idx="2">
                  <c:v>Marketing</c:v>
                </c:pt>
                <c:pt idx="3">
                  <c:v>Sales</c:v>
                </c:pt>
                <c:pt idx="4">
                  <c:v>Operations</c:v>
                </c:pt>
                <c:pt idx="5">
                  <c:v>Information Technology</c:v>
                </c:pt>
              </c:strCache>
            </c:strRef>
          </c:cat>
          <c:val>
            <c:numRef>
              <c:f>Analysis!$B$65:$B$71</c:f>
              <c:numCache>
                <c:formatCode>0%</c:formatCode>
                <c:ptCount val="6"/>
                <c:pt idx="0">
                  <c:v>0.11450903761602345</c:v>
                </c:pt>
                <c:pt idx="1">
                  <c:v>0.12486565705911089</c:v>
                </c:pt>
                <c:pt idx="2">
                  <c:v>0.1379579872984856</c:v>
                </c:pt>
                <c:pt idx="3">
                  <c:v>0.19384465070835369</c:v>
                </c:pt>
                <c:pt idx="4">
                  <c:v>0.19902296042989742</c:v>
                </c:pt>
                <c:pt idx="5">
                  <c:v>0.22979970688812898</c:v>
                </c:pt>
              </c:numCache>
            </c:numRef>
          </c:val>
          <c:extLst>
            <c:ext xmlns:c16="http://schemas.microsoft.com/office/drawing/2014/chart" uri="{C3380CC4-5D6E-409C-BE32-E72D297353CC}">
              <c16:uniqueId val="{00000000-DCD3-4326-BA0C-8075AD2D2B8F}"/>
            </c:ext>
          </c:extLst>
        </c:ser>
        <c:dLbls>
          <c:showLegendKey val="0"/>
          <c:showVal val="0"/>
          <c:showCatName val="0"/>
          <c:showSerName val="0"/>
          <c:showPercent val="0"/>
          <c:showBubbleSize val="0"/>
        </c:dLbls>
        <c:gapWidth val="219"/>
        <c:overlap val="-27"/>
        <c:axId val="636545263"/>
        <c:axId val="636562543"/>
      </c:barChart>
      <c:catAx>
        <c:axId val="63654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562543"/>
        <c:crosses val="autoZero"/>
        <c:auto val="1"/>
        <c:lblAlgn val="ctr"/>
        <c:lblOffset val="100"/>
        <c:noMultiLvlLbl val="0"/>
      </c:catAx>
      <c:valAx>
        <c:axId val="636562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54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[HR_Capstone_Completed_OKESANJO ABDUL-AZEEM.xlsx]Analysis!PivotTable10</c:name>
    <c:fmtId val="6"/>
  </c:pivotSource>
  <c:chart>
    <c:title>
      <c:tx>
        <c:rich>
          <a:bodyPr rot="0" spcFirstLastPara="1" vertOverflow="ellipsis" vert="horz" wrap="square" anchor="ctr" anchorCtr="1"/>
          <a:lstStyle/>
          <a:p>
            <a:pPr>
              <a:defRPr sz="2000" b="1" i="0" u="none" strike="noStrike" kern="1200" spc="0" baseline="0">
                <a:solidFill>
                  <a:schemeClr val="bg1"/>
                </a:solidFill>
                <a:latin typeface="+mj-lt"/>
                <a:ea typeface="+mn-ea"/>
                <a:cs typeface="+mn-cs"/>
              </a:defRPr>
            </a:pPr>
            <a:r>
              <a:rPr lang="en-US" sz="2000" b="1">
                <a:solidFill>
                  <a:schemeClr val="bg1"/>
                </a:solidFill>
                <a:latin typeface="+mj-lt"/>
              </a:rPr>
              <a:t>Departmental</a:t>
            </a:r>
            <a:r>
              <a:rPr lang="en-US" sz="2000" b="1" baseline="0">
                <a:solidFill>
                  <a:schemeClr val="bg1"/>
                </a:solidFill>
                <a:latin typeface="+mj-lt"/>
              </a:rPr>
              <a:t> Headcount</a:t>
            </a:r>
            <a:endParaRPr lang="en-US" sz="2000" b="1">
              <a:solidFill>
                <a:schemeClr val="bg1"/>
              </a:solidFill>
              <a:latin typeface="+mj-lt"/>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5835830255731"/>
          <c:y val="0.19624338624338625"/>
          <c:w val="0.47486865026827402"/>
          <c:h val="0.68101445652626758"/>
        </c:manualLayout>
      </c:layout>
      <c:barChart>
        <c:barDir val="bar"/>
        <c:grouping val="clustered"/>
        <c:varyColors val="0"/>
        <c:ser>
          <c:idx val="0"/>
          <c:order val="0"/>
          <c:tx>
            <c:strRef>
              <c:f>Analysis!$B$41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Analysis!$A$42:$A$48</c:f>
              <c:strCache>
                <c:ptCount val="6"/>
                <c:pt idx="0">
                  <c:v>Finance</c:v>
                </c:pt>
                <c:pt idx="1">
                  <c:v>Human Resources</c:v>
                </c:pt>
                <c:pt idx="2">
                  <c:v>Information Technology</c:v>
                </c:pt>
                <c:pt idx="3">
                  <c:v>Marketing</c:v>
                </c:pt>
                <c:pt idx="4">
                  <c:v>Operations</c:v>
                </c:pt>
                <c:pt idx="5">
                  <c:v>Sales</c:v>
                </c:pt>
              </c:strCache>
            </c:strRef>
          </c:cat>
          <c:val>
            <c:numRef>
              <c:f>Analysis!$B$42:$B$48</c:f>
              <c:numCache>
                <c:formatCode>0%</c:formatCode>
                <c:ptCount val="6"/>
                <c:pt idx="0">
                  <c:v>0.11333333333333333</c:v>
                </c:pt>
                <c:pt idx="1">
                  <c:v>0.12</c:v>
                </c:pt>
                <c:pt idx="2">
                  <c:v>0.24</c:v>
                </c:pt>
                <c:pt idx="3">
                  <c:v>0.12666666666666668</c:v>
                </c:pt>
                <c:pt idx="4">
                  <c:v>0.19333333333333333</c:v>
                </c:pt>
                <c:pt idx="5">
                  <c:v>0.20666666666666667</c:v>
                </c:pt>
              </c:numCache>
            </c:numRef>
          </c:val>
          <c:extLst>
            <c:ext xmlns:c16="http://schemas.microsoft.com/office/drawing/2014/chart" uri="{C3380CC4-5D6E-409C-BE32-E72D297353CC}">
              <c16:uniqueId val="{00000000-0606-4C59-A655-73FDC8E93654}"/>
            </c:ext>
          </c:extLst>
        </c:ser>
        <c:dLbls>
          <c:dLblPos val="outEnd"/>
          <c:showLegendKey val="0"/>
          <c:showVal val="1"/>
          <c:showCatName val="0"/>
          <c:showSerName val="0"/>
          <c:showPercent val="0"/>
          <c:showBubbleSize val="0"/>
        </c:dLbls>
        <c:gapWidth val="182"/>
        <c:axId val="791085679"/>
        <c:axId val="791103919"/>
      </c:barChart>
      <c:catAx>
        <c:axId val="791085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FFC000"/>
                </a:solidFill>
                <a:latin typeface="+mj-lt"/>
                <a:ea typeface="+mn-ea"/>
                <a:cs typeface="+mn-cs"/>
              </a:defRPr>
            </a:pPr>
            <a:endParaRPr lang="en-US"/>
          </a:p>
        </c:txPr>
        <c:crossAx val="791103919"/>
        <c:crosses val="autoZero"/>
        <c:auto val="1"/>
        <c:lblAlgn val="ctr"/>
        <c:lblOffset val="100"/>
        <c:noMultiLvlLbl val="0"/>
      </c:catAx>
      <c:valAx>
        <c:axId val="791103919"/>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solidFill>
              <a:srgbClr val="FFC000"/>
            </a:solidFill>
          </a:ln>
          <a:effectLst/>
        </c:spPr>
        <c:txPr>
          <a:bodyPr rot="-60000000" spcFirstLastPara="1" vertOverflow="ellipsis" vert="horz" wrap="square" anchor="ctr" anchorCtr="1"/>
          <a:lstStyle/>
          <a:p>
            <a:pPr>
              <a:defRPr sz="1100" b="1" i="0" u="none" strike="noStrike" kern="1200" baseline="0">
                <a:solidFill>
                  <a:srgbClr val="FFC000"/>
                </a:solidFill>
                <a:latin typeface="+mj-lt"/>
                <a:ea typeface="+mn-ea"/>
                <a:cs typeface="+mn-cs"/>
              </a:defRPr>
            </a:pPr>
            <a:endParaRPr lang="en-US"/>
          </a:p>
        </c:txPr>
        <c:crossAx val="79108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[HR_Capstone_Completed_OKESANJO ABDUL-AZEEM.xlsx]Analysis!PivotTable11</c:name>
    <c:fmtId val="5"/>
  </c:pivotSource>
  <c:chart>
    <c:title>
      <c:tx>
        <c:rich>
          <a:bodyPr rot="0" spcFirstLastPara="1" vertOverflow="ellipsis" vert="horz" wrap="square" anchor="ctr" anchorCtr="1"/>
          <a:lstStyle/>
          <a:p>
            <a:pPr>
              <a:defRPr sz="2000" b="1" i="0" u="none" strike="noStrike" kern="1200" spc="0" baseline="0">
                <a:solidFill>
                  <a:schemeClr val="bg1"/>
                </a:solidFill>
                <a:latin typeface="+mj-lt"/>
                <a:ea typeface="+mn-ea"/>
                <a:cs typeface="+mn-cs"/>
              </a:defRPr>
            </a:pPr>
            <a:r>
              <a:rPr lang="en-US" sz="2000" b="1" i="0" u="none" strike="noStrike" baseline="0">
                <a:solidFill>
                  <a:schemeClr val="bg1"/>
                </a:solidFill>
                <a:effectLst/>
                <a:latin typeface="+mj-lt"/>
              </a:rPr>
              <a:t>Average Departmental Salary </a:t>
            </a:r>
            <a:endParaRPr lang="en-US" sz="2000" b="1">
              <a:solidFill>
                <a:schemeClr val="bg1"/>
              </a:solidFill>
              <a:latin typeface="+mj-lt"/>
            </a:endParaRPr>
          </a:p>
        </c:rich>
      </c:tx>
      <c:layout>
        <c:manualLayout>
          <c:xMode val="edge"/>
          <c:yMode val="edge"/>
          <c:x val="0.11913012847078326"/>
          <c:y val="2.9702970297029702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3684210526316"/>
          <c:y val="0.22500000000000003"/>
          <c:w val="0.61052631578947369"/>
          <c:h val="0.59792040227644816"/>
        </c:manualLayout>
      </c:layout>
      <c:barChart>
        <c:barDir val="bar"/>
        <c:grouping val="clustered"/>
        <c:varyColors val="0"/>
        <c:ser>
          <c:idx val="0"/>
          <c:order val="0"/>
          <c:tx>
            <c:strRef>
              <c:f>Analysis!$B$52</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Analysis!$A$53:$A$59</c:f>
              <c:strCache>
                <c:ptCount val="6"/>
                <c:pt idx="0">
                  <c:v>Finance</c:v>
                </c:pt>
                <c:pt idx="1">
                  <c:v>Human Resources</c:v>
                </c:pt>
                <c:pt idx="2">
                  <c:v>Information Technology</c:v>
                </c:pt>
                <c:pt idx="3">
                  <c:v>Marketing</c:v>
                </c:pt>
                <c:pt idx="4">
                  <c:v>Operations</c:v>
                </c:pt>
                <c:pt idx="5">
                  <c:v>Sales</c:v>
                </c:pt>
              </c:strCache>
            </c:strRef>
          </c:cat>
          <c:val>
            <c:numRef>
              <c:f>Analysis!$B$53:$B$59</c:f>
              <c:numCache>
                <c:formatCode>"$"#,##0</c:formatCode>
                <c:ptCount val="6"/>
                <c:pt idx="0">
                  <c:v>87938.588235294112</c:v>
                </c:pt>
                <c:pt idx="1">
                  <c:v>85649.944444444438</c:v>
                </c:pt>
                <c:pt idx="2">
                  <c:v>80014.361111111109</c:v>
                </c:pt>
                <c:pt idx="3">
                  <c:v>85508.210526315786</c:v>
                </c:pt>
                <c:pt idx="4">
                  <c:v>79786.68965517242</c:v>
                </c:pt>
                <c:pt idx="5">
                  <c:v>87282.516129032258</c:v>
                </c:pt>
              </c:numCache>
            </c:numRef>
          </c:val>
          <c:extLst>
            <c:ext xmlns:c16="http://schemas.microsoft.com/office/drawing/2014/chart" uri="{C3380CC4-5D6E-409C-BE32-E72D297353CC}">
              <c16:uniqueId val="{00000000-3B42-49A9-A3A5-4E4D5E8E6F92}"/>
            </c:ext>
          </c:extLst>
        </c:ser>
        <c:dLbls>
          <c:showLegendKey val="0"/>
          <c:showVal val="0"/>
          <c:showCatName val="0"/>
          <c:showSerName val="0"/>
          <c:showPercent val="0"/>
          <c:showBubbleSize val="0"/>
        </c:dLbls>
        <c:gapWidth val="173"/>
        <c:axId val="791146159"/>
        <c:axId val="791123599"/>
      </c:barChart>
      <c:catAx>
        <c:axId val="791146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FFC000"/>
                </a:solidFill>
                <a:latin typeface="+mj-lt"/>
                <a:ea typeface="+mn-ea"/>
                <a:cs typeface="+mn-cs"/>
              </a:defRPr>
            </a:pPr>
            <a:endParaRPr lang="en-US"/>
          </a:p>
        </c:txPr>
        <c:crossAx val="791123599"/>
        <c:crosses val="autoZero"/>
        <c:auto val="1"/>
        <c:lblAlgn val="ctr"/>
        <c:lblOffset val="100"/>
        <c:noMultiLvlLbl val="0"/>
      </c:catAx>
      <c:valAx>
        <c:axId val="791123599"/>
        <c:scaling>
          <c:orientation val="minMax"/>
        </c:scaling>
        <c:delete val="1"/>
        <c:axPos val="b"/>
        <c:numFmt formatCode="&quot;$&quot;#,##0" sourceLinked="1"/>
        <c:majorTickMark val="none"/>
        <c:minorTickMark val="none"/>
        <c:tickLblPos val="nextTo"/>
        <c:crossAx val="79114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[HR_Capstone_Completed_OKESANJO ABDUL-AZEEM.xlsx]Analysis!PivotTable3</c:name>
    <c:fmtId val="5"/>
  </c:pivotSource>
  <c:chart>
    <c:title>
      <c:tx>
        <c:rich>
          <a:bodyPr rot="0" spcFirstLastPara="1" vertOverflow="ellipsis" vert="horz" wrap="square" anchor="ctr" anchorCtr="1"/>
          <a:lstStyle/>
          <a:p>
            <a:pPr>
              <a:defRPr sz="2000" b="1" i="0" u="none" strike="noStrike" kern="1200" spc="0" baseline="0">
                <a:solidFill>
                  <a:schemeClr val="bg1"/>
                </a:solidFill>
                <a:latin typeface="+mj-lt"/>
                <a:ea typeface="+mn-ea"/>
                <a:cs typeface="+mn-cs"/>
              </a:defRPr>
            </a:pPr>
            <a:r>
              <a:rPr lang="en-US" sz="2000" b="1" i="0" u="none" strike="noStrike" baseline="0">
                <a:solidFill>
                  <a:schemeClr val="bg1"/>
                </a:solidFill>
                <a:effectLst/>
                <a:latin typeface="+mj-lt"/>
              </a:rPr>
              <a:t>Attrition rate </a:t>
            </a:r>
            <a:endParaRPr lang="en-US" sz="2000" b="1">
              <a:solidFill>
                <a:schemeClr val="bg1"/>
              </a:solidFill>
              <a:latin typeface="+mj-lt"/>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Analysis!$A$14:$A$20</c:f>
              <c:strCache>
                <c:ptCount val="6"/>
                <c:pt idx="0">
                  <c:v>Finance</c:v>
                </c:pt>
                <c:pt idx="1">
                  <c:v>Human Resources</c:v>
                </c:pt>
                <c:pt idx="2">
                  <c:v>Information Technology</c:v>
                </c:pt>
                <c:pt idx="3">
                  <c:v>Marketing</c:v>
                </c:pt>
                <c:pt idx="4">
                  <c:v>Operations</c:v>
                </c:pt>
                <c:pt idx="5">
                  <c:v>Sales</c:v>
                </c:pt>
              </c:strCache>
            </c:strRef>
          </c:cat>
          <c:val>
            <c:numRef>
              <c:f>Analysis!$B$14:$B$20</c:f>
              <c:numCache>
                <c:formatCode>0%</c:formatCode>
                <c:ptCount val="6"/>
                <c:pt idx="0">
                  <c:v>0.17647058823529413</c:v>
                </c:pt>
                <c:pt idx="1">
                  <c:v>0.16666666666666666</c:v>
                </c:pt>
                <c:pt idx="2">
                  <c:v>0.22222222222222221</c:v>
                </c:pt>
                <c:pt idx="3">
                  <c:v>0.15789473684210525</c:v>
                </c:pt>
                <c:pt idx="4">
                  <c:v>0.37931034482758619</c:v>
                </c:pt>
                <c:pt idx="5">
                  <c:v>0.19354838709677419</c:v>
                </c:pt>
              </c:numCache>
            </c:numRef>
          </c:val>
          <c:extLst>
            <c:ext xmlns:c16="http://schemas.microsoft.com/office/drawing/2014/chart" uri="{C3380CC4-5D6E-409C-BE32-E72D297353CC}">
              <c16:uniqueId val="{00000000-6421-421F-83A0-4E278D1093D8}"/>
            </c:ext>
          </c:extLst>
        </c:ser>
        <c:dLbls>
          <c:showLegendKey val="0"/>
          <c:showVal val="0"/>
          <c:showCatName val="0"/>
          <c:showSerName val="0"/>
          <c:showPercent val="0"/>
          <c:showBubbleSize val="0"/>
        </c:dLbls>
        <c:gapWidth val="219"/>
        <c:overlap val="-27"/>
        <c:axId val="494722463"/>
        <c:axId val="494747903"/>
      </c:barChart>
      <c:catAx>
        <c:axId val="49472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FFC000"/>
                </a:solidFill>
                <a:latin typeface="+mj-lt"/>
                <a:ea typeface="+mn-ea"/>
                <a:cs typeface="+mn-cs"/>
              </a:defRPr>
            </a:pPr>
            <a:endParaRPr lang="en-US"/>
          </a:p>
        </c:txPr>
        <c:crossAx val="494747903"/>
        <c:crosses val="autoZero"/>
        <c:auto val="1"/>
        <c:lblAlgn val="ctr"/>
        <c:lblOffset val="100"/>
        <c:noMultiLvlLbl val="0"/>
      </c:catAx>
      <c:valAx>
        <c:axId val="494747903"/>
        <c:scaling>
          <c:orientation val="minMax"/>
        </c:scaling>
        <c:delete val="1"/>
        <c:axPos val="l"/>
        <c:numFmt formatCode="0%" sourceLinked="1"/>
        <c:majorTickMark val="none"/>
        <c:minorTickMark val="none"/>
        <c:tickLblPos val="nextTo"/>
        <c:crossAx val="49472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[HR_Capstone_Completed_OKESANJO ABDUL-AZEEM.xlsx]Analysis!PivotTable2</c:name>
    <c:fmtId val="5"/>
  </c:pivotSource>
  <c:chart>
    <c:title>
      <c:tx>
        <c:rich>
          <a:bodyPr rot="0" spcFirstLastPara="1" vertOverflow="ellipsis" vert="horz" wrap="square" anchor="ctr" anchorCtr="1"/>
          <a:lstStyle/>
          <a:p>
            <a:pPr algn="ctr" rtl="0">
              <a:defRPr lang="en-US" sz="2000" b="1" i="0" u="none" strike="noStrike" kern="1200" spc="0" baseline="0">
                <a:solidFill>
                  <a:schemeClr val="bg1"/>
                </a:solidFill>
                <a:latin typeface="+mj-lt"/>
                <a:ea typeface="+mn-ea"/>
                <a:cs typeface="+mn-cs"/>
              </a:defRPr>
            </a:pPr>
            <a:r>
              <a:rPr lang="en-US" sz="2000" b="1" i="0" u="none" strike="noStrike" kern="1200" spc="0" baseline="0">
                <a:solidFill>
                  <a:schemeClr val="bg1"/>
                </a:solidFill>
                <a:latin typeface="+mj-lt"/>
                <a:ea typeface="+mn-ea"/>
                <a:cs typeface="+mn-cs"/>
              </a:rPr>
              <a:t>Department Performance </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bg1"/>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Analysis!$A$65:$A$71</c:f>
              <c:strCache>
                <c:ptCount val="6"/>
                <c:pt idx="0">
                  <c:v>Finance</c:v>
                </c:pt>
                <c:pt idx="1">
                  <c:v>Human Resources</c:v>
                </c:pt>
                <c:pt idx="2">
                  <c:v>Marketing</c:v>
                </c:pt>
                <c:pt idx="3">
                  <c:v>Sales</c:v>
                </c:pt>
                <c:pt idx="4">
                  <c:v>Operations</c:v>
                </c:pt>
                <c:pt idx="5">
                  <c:v>Information Technology</c:v>
                </c:pt>
              </c:strCache>
            </c:strRef>
          </c:cat>
          <c:val>
            <c:numRef>
              <c:f>Analysis!$B$65:$B$71</c:f>
              <c:numCache>
                <c:formatCode>0%</c:formatCode>
                <c:ptCount val="6"/>
                <c:pt idx="0">
                  <c:v>0.11450903761602345</c:v>
                </c:pt>
                <c:pt idx="1">
                  <c:v>0.12486565705911089</c:v>
                </c:pt>
                <c:pt idx="2">
                  <c:v>0.1379579872984856</c:v>
                </c:pt>
                <c:pt idx="3">
                  <c:v>0.19384465070835369</c:v>
                </c:pt>
                <c:pt idx="4">
                  <c:v>0.19902296042989742</c:v>
                </c:pt>
                <c:pt idx="5">
                  <c:v>0.22979970688812898</c:v>
                </c:pt>
              </c:numCache>
            </c:numRef>
          </c:val>
          <c:extLst>
            <c:ext xmlns:c16="http://schemas.microsoft.com/office/drawing/2014/chart" uri="{C3380CC4-5D6E-409C-BE32-E72D297353CC}">
              <c16:uniqueId val="{00000000-A7A8-40FA-8EE8-99AC42726C44}"/>
            </c:ext>
          </c:extLst>
        </c:ser>
        <c:dLbls>
          <c:showLegendKey val="0"/>
          <c:showVal val="0"/>
          <c:showCatName val="0"/>
          <c:showSerName val="0"/>
          <c:showPercent val="0"/>
          <c:showBubbleSize val="0"/>
        </c:dLbls>
        <c:gapWidth val="219"/>
        <c:overlap val="-27"/>
        <c:axId val="636545263"/>
        <c:axId val="636562543"/>
      </c:barChart>
      <c:catAx>
        <c:axId val="63654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rgbClr val="FFC000"/>
                </a:solidFill>
                <a:latin typeface="+mj-lt"/>
                <a:ea typeface="+mn-ea"/>
                <a:cs typeface="+mn-cs"/>
              </a:defRPr>
            </a:pPr>
            <a:endParaRPr lang="en-US"/>
          </a:p>
        </c:txPr>
        <c:crossAx val="636562543"/>
        <c:crosses val="autoZero"/>
        <c:auto val="1"/>
        <c:lblAlgn val="ctr"/>
        <c:lblOffset val="100"/>
        <c:noMultiLvlLbl val="0"/>
      </c:catAx>
      <c:valAx>
        <c:axId val="636562543"/>
        <c:scaling>
          <c:orientation val="minMax"/>
        </c:scaling>
        <c:delete val="1"/>
        <c:axPos val="l"/>
        <c:numFmt formatCode="0%" sourceLinked="1"/>
        <c:majorTickMark val="none"/>
        <c:minorTickMark val="none"/>
        <c:tickLblPos val="nextTo"/>
        <c:crossAx val="63654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160020</xdr:colOff>
      <xdr:row>0</xdr:row>
      <xdr:rowOff>106680</xdr:rowOff>
    </xdr:from>
    <xdr:to>
      <xdr:col>7</xdr:col>
      <xdr:colOff>464820</xdr:colOff>
      <xdr:row>15</xdr:row>
      <xdr:rowOff>106680</xdr:rowOff>
    </xdr:to>
    <xdr:graphicFrame macro="">
      <xdr:nvGraphicFramePr>
        <xdr:cNvPr id="2" name="Chart 1">
          <a:extLst>
            <a:ext uri="{FF2B5EF4-FFF2-40B4-BE49-F238E27FC236}">
              <a16:creationId xmlns:a16="http://schemas.microsoft.com/office/drawing/2014/main" id="{211C4BFB-56B6-41E6-BBE0-CCBED85D4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0</xdr:rowOff>
    </xdr:from>
    <xdr:to>
      <xdr:col>7</xdr:col>
      <xdr:colOff>304800</xdr:colOff>
      <xdr:row>32</xdr:row>
      <xdr:rowOff>0</xdr:rowOff>
    </xdr:to>
    <xdr:graphicFrame macro="">
      <xdr:nvGraphicFramePr>
        <xdr:cNvPr id="3" name="Chart 2">
          <a:extLst>
            <a:ext uri="{FF2B5EF4-FFF2-40B4-BE49-F238E27FC236}">
              <a16:creationId xmlns:a16="http://schemas.microsoft.com/office/drawing/2014/main" id="{78F40F81-A0CF-43AE-B6D9-5A871F426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0</xdr:row>
      <xdr:rowOff>0</xdr:rowOff>
    </xdr:from>
    <xdr:to>
      <xdr:col>17</xdr:col>
      <xdr:colOff>304800</xdr:colOff>
      <xdr:row>15</xdr:row>
      <xdr:rowOff>0</xdr:rowOff>
    </xdr:to>
    <xdr:graphicFrame macro="">
      <xdr:nvGraphicFramePr>
        <xdr:cNvPr id="4" name="Chart 3">
          <a:extLst>
            <a:ext uri="{FF2B5EF4-FFF2-40B4-BE49-F238E27FC236}">
              <a16:creationId xmlns:a16="http://schemas.microsoft.com/office/drawing/2014/main" id="{C47E59A4-9005-41F8-B581-70C8F54ED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30480</xdr:colOff>
      <xdr:row>17</xdr:row>
      <xdr:rowOff>0</xdr:rowOff>
    </xdr:from>
    <xdr:to>
      <xdr:col>17</xdr:col>
      <xdr:colOff>335280</xdr:colOff>
      <xdr:row>32</xdr:row>
      <xdr:rowOff>0</xdr:rowOff>
    </xdr:to>
    <xdr:graphicFrame macro="">
      <xdr:nvGraphicFramePr>
        <xdr:cNvPr id="5" name="Chart 4">
          <a:extLst>
            <a:ext uri="{FF2B5EF4-FFF2-40B4-BE49-F238E27FC236}">
              <a16:creationId xmlns:a16="http://schemas.microsoft.com/office/drawing/2014/main" id="{C459630D-16B3-4998-B25E-823BF508C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480060</xdr:colOff>
      <xdr:row>0</xdr:row>
      <xdr:rowOff>0</xdr:rowOff>
    </xdr:from>
    <xdr:to>
      <xdr:col>27</xdr:col>
      <xdr:colOff>175260</xdr:colOff>
      <xdr:row>15</xdr:row>
      <xdr:rowOff>0</xdr:rowOff>
    </xdr:to>
    <xdr:graphicFrame macro="">
      <xdr:nvGraphicFramePr>
        <xdr:cNvPr id="6" name="Chart 5">
          <a:extLst>
            <a:ext uri="{FF2B5EF4-FFF2-40B4-BE49-F238E27FC236}">
              <a16:creationId xmlns:a16="http://schemas.microsoft.com/office/drawing/2014/main" id="{203301DD-F4E0-45B7-A397-A0D4F224F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17</xdr:row>
      <xdr:rowOff>0</xdr:rowOff>
    </xdr:from>
    <xdr:to>
      <xdr:col>27</xdr:col>
      <xdr:colOff>304800</xdr:colOff>
      <xdr:row>32</xdr:row>
      <xdr:rowOff>0</xdr:rowOff>
    </xdr:to>
    <xdr:graphicFrame macro="">
      <xdr:nvGraphicFramePr>
        <xdr:cNvPr id="7" name="Chart 6">
          <a:extLst>
            <a:ext uri="{FF2B5EF4-FFF2-40B4-BE49-F238E27FC236}">
              <a16:creationId xmlns:a16="http://schemas.microsoft.com/office/drawing/2014/main" id="{8DF55418-2390-459D-8918-FD1C50D2D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33</xdr:row>
      <xdr:rowOff>0</xdr:rowOff>
    </xdr:from>
    <xdr:to>
      <xdr:col>7</xdr:col>
      <xdr:colOff>304800</xdr:colOff>
      <xdr:row>48</xdr:row>
      <xdr:rowOff>0</xdr:rowOff>
    </xdr:to>
    <xdr:graphicFrame macro="">
      <xdr:nvGraphicFramePr>
        <xdr:cNvPr id="8" name="Chart 7">
          <a:extLst>
            <a:ext uri="{FF2B5EF4-FFF2-40B4-BE49-F238E27FC236}">
              <a16:creationId xmlns:a16="http://schemas.microsoft.com/office/drawing/2014/main" id="{2382D7F9-DD74-4DC0-A4CC-8663CC60A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304800</xdr:colOff>
      <xdr:row>40</xdr:row>
      <xdr:rowOff>152400</xdr:rowOff>
    </xdr:to>
    <xdr:sp macro="" textlink="">
      <xdr:nvSpPr>
        <xdr:cNvPr id="2" name="Rectangle 1">
          <a:extLst>
            <a:ext uri="{FF2B5EF4-FFF2-40B4-BE49-F238E27FC236}">
              <a16:creationId xmlns:a16="http://schemas.microsoft.com/office/drawing/2014/main" id="{45A776F4-4406-4FFE-1552-3A9998FE6A67}"/>
            </a:ext>
          </a:extLst>
        </xdr:cNvPr>
        <xdr:cNvSpPr/>
      </xdr:nvSpPr>
      <xdr:spPr>
        <a:xfrm>
          <a:off x="0" y="0"/>
          <a:ext cx="13716000" cy="72644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139700</xdr:colOff>
      <xdr:row>0</xdr:row>
      <xdr:rowOff>101600</xdr:rowOff>
    </xdr:from>
    <xdr:to>
      <xdr:col>22</xdr:col>
      <xdr:colOff>215900</xdr:colOff>
      <xdr:row>3</xdr:row>
      <xdr:rowOff>50800</xdr:rowOff>
    </xdr:to>
    <xdr:sp macro="" textlink="">
      <xdr:nvSpPr>
        <xdr:cNvPr id="3" name="Rectangle: Rounded Corners 2">
          <a:extLst>
            <a:ext uri="{FF2B5EF4-FFF2-40B4-BE49-F238E27FC236}">
              <a16:creationId xmlns:a16="http://schemas.microsoft.com/office/drawing/2014/main" id="{EA627DE3-B462-83EB-4A02-29518835CCBE}"/>
            </a:ext>
          </a:extLst>
        </xdr:cNvPr>
        <xdr:cNvSpPr/>
      </xdr:nvSpPr>
      <xdr:spPr>
        <a:xfrm>
          <a:off x="139700" y="101600"/>
          <a:ext cx="13487400" cy="482600"/>
        </a:xfrm>
        <a:prstGeom prst="roundRect">
          <a:avLst>
            <a:gd name="adj" fmla="val 42381"/>
          </a:avLst>
        </a:prstGeom>
        <a:solidFill>
          <a:srgbClr val="002060"/>
        </a:solidFill>
        <a:ln>
          <a:solidFill>
            <a:srgbClr val="FFC000"/>
          </a:solidFill>
        </a:ln>
        <a:effectLst>
          <a:outerShdw blurRad="63500" dist="76200" dir="2700000" algn="tl" rotWithShape="0">
            <a:prstClr val="black">
              <a:alpha val="7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mj-lt"/>
            </a:rPr>
            <a:t>HR-Dashboard</a:t>
          </a:r>
          <a:endParaRPr lang="en-US" sz="1100" b="1">
            <a:latin typeface="+mj-lt"/>
          </a:endParaRPr>
        </a:p>
      </xdr:txBody>
    </xdr:sp>
    <xdr:clientData/>
  </xdr:twoCellAnchor>
  <xdr:twoCellAnchor>
    <xdr:from>
      <xdr:col>4</xdr:col>
      <xdr:colOff>431800</xdr:colOff>
      <xdr:row>4</xdr:row>
      <xdr:rowOff>114300</xdr:rowOff>
    </xdr:from>
    <xdr:to>
      <xdr:col>8</xdr:col>
      <xdr:colOff>76200</xdr:colOff>
      <xdr:row>10</xdr:row>
      <xdr:rowOff>12700</xdr:rowOff>
    </xdr:to>
    <xdr:grpSp>
      <xdr:nvGrpSpPr>
        <xdr:cNvPr id="28" name="Group 27">
          <a:extLst>
            <a:ext uri="{FF2B5EF4-FFF2-40B4-BE49-F238E27FC236}">
              <a16:creationId xmlns:a16="http://schemas.microsoft.com/office/drawing/2014/main" id="{18FD1124-A573-C26A-6398-995CA59CDAE6}"/>
            </a:ext>
          </a:extLst>
        </xdr:cNvPr>
        <xdr:cNvGrpSpPr/>
      </xdr:nvGrpSpPr>
      <xdr:grpSpPr>
        <a:xfrm>
          <a:off x="2870200" y="825500"/>
          <a:ext cx="2082800" cy="965200"/>
          <a:chOff x="2209800" y="825500"/>
          <a:chExt cx="2082800" cy="965200"/>
        </a:xfrm>
      </xdr:grpSpPr>
      <xdr:sp macro="" textlink="">
        <xdr:nvSpPr>
          <xdr:cNvPr id="4" name="Rectangle: Rounded Corners 3">
            <a:extLst>
              <a:ext uri="{FF2B5EF4-FFF2-40B4-BE49-F238E27FC236}">
                <a16:creationId xmlns:a16="http://schemas.microsoft.com/office/drawing/2014/main" id="{EEE2116D-4C9F-84B7-BEEA-22B227EBAAA8}"/>
              </a:ext>
            </a:extLst>
          </xdr:cNvPr>
          <xdr:cNvSpPr/>
        </xdr:nvSpPr>
        <xdr:spPr>
          <a:xfrm>
            <a:off x="2311400" y="825500"/>
            <a:ext cx="1943100" cy="965200"/>
          </a:xfrm>
          <a:prstGeom prst="roundRect">
            <a:avLst>
              <a:gd name="adj" fmla="val 7456"/>
            </a:avLst>
          </a:prstGeom>
          <a:solidFill>
            <a:srgbClr val="002060"/>
          </a:solidFill>
          <a:ln>
            <a:solidFill>
              <a:srgbClr val="FFC000"/>
            </a:solidFill>
          </a:ln>
          <a:effectLst>
            <a:outerShdw blurRad="63500" dist="76200" dir="2700000" algn="tl" rotWithShape="0">
              <a:prstClr val="black">
                <a:alpha val="7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a:solidFill>
                <a:schemeClr val="lt1"/>
              </a:solidFill>
              <a:latin typeface="+mj-lt"/>
              <a:ea typeface="+mn-ea"/>
              <a:cs typeface="+mn-cs"/>
            </a:endParaRPr>
          </a:p>
        </xdr:txBody>
      </xdr:sp>
      <xdr:sp macro="" textlink="">
        <xdr:nvSpPr>
          <xdr:cNvPr id="5" name="Rectangle: Rounded Corners 4">
            <a:extLst>
              <a:ext uri="{FF2B5EF4-FFF2-40B4-BE49-F238E27FC236}">
                <a16:creationId xmlns:a16="http://schemas.microsoft.com/office/drawing/2014/main" id="{BBADD7C4-7F4A-B61E-E1ED-3B48E400418C}"/>
              </a:ext>
            </a:extLst>
          </xdr:cNvPr>
          <xdr:cNvSpPr/>
        </xdr:nvSpPr>
        <xdr:spPr>
          <a:xfrm>
            <a:off x="2425700" y="901700"/>
            <a:ext cx="571500" cy="88900"/>
          </a:xfrm>
          <a:prstGeom prst="roundRect">
            <a:avLst>
              <a:gd name="adj" fmla="val 50000"/>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868801E5-B21D-2403-A0B4-06842DDF62C2}"/>
              </a:ext>
            </a:extLst>
          </xdr:cNvPr>
          <xdr:cNvSpPr txBox="1"/>
        </xdr:nvSpPr>
        <xdr:spPr>
          <a:xfrm>
            <a:off x="2286000" y="1028700"/>
            <a:ext cx="20066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j-lt"/>
              </a:rPr>
              <a:t>Total  Employees</a:t>
            </a:r>
          </a:p>
        </xdr:txBody>
      </xdr:sp>
      <xdr:sp macro="" textlink="Analysis!K4">
        <xdr:nvSpPr>
          <xdr:cNvPr id="7" name="TextBox 6">
            <a:extLst>
              <a:ext uri="{FF2B5EF4-FFF2-40B4-BE49-F238E27FC236}">
                <a16:creationId xmlns:a16="http://schemas.microsoft.com/office/drawing/2014/main" id="{2F3E8838-D8FD-BA71-7505-48B74084A729}"/>
              </a:ext>
            </a:extLst>
          </xdr:cNvPr>
          <xdr:cNvSpPr txBox="1"/>
        </xdr:nvSpPr>
        <xdr:spPr>
          <a:xfrm>
            <a:off x="2209800" y="1282700"/>
            <a:ext cx="20066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5FC5E15-5418-4A4C-8316-BB570BA31835}" type="TxLink">
              <a:rPr lang="en-US" sz="2800" b="1">
                <a:solidFill>
                  <a:srgbClr val="FFC000"/>
                </a:solidFill>
                <a:latin typeface="+mj-lt"/>
                <a:ea typeface="+mn-ea"/>
                <a:cs typeface="+mn-cs"/>
              </a:rPr>
              <a:pPr marL="0" indent="0" algn="ctr"/>
              <a:t>150</a:t>
            </a:fld>
            <a:endParaRPr lang="en-US" sz="2800" b="1">
              <a:solidFill>
                <a:srgbClr val="FFC000"/>
              </a:solidFill>
              <a:latin typeface="+mj-lt"/>
              <a:ea typeface="+mn-ea"/>
              <a:cs typeface="+mn-cs"/>
            </a:endParaRPr>
          </a:p>
        </xdr:txBody>
      </xdr:sp>
    </xdr:grpSp>
    <xdr:clientData/>
  </xdr:twoCellAnchor>
  <xdr:twoCellAnchor>
    <xdr:from>
      <xdr:col>8</xdr:col>
      <xdr:colOff>254000</xdr:colOff>
      <xdr:row>4</xdr:row>
      <xdr:rowOff>139700</xdr:rowOff>
    </xdr:from>
    <xdr:to>
      <xdr:col>11</xdr:col>
      <xdr:colOff>508000</xdr:colOff>
      <xdr:row>10</xdr:row>
      <xdr:rowOff>38100</xdr:rowOff>
    </xdr:to>
    <xdr:grpSp>
      <xdr:nvGrpSpPr>
        <xdr:cNvPr id="9" name="Group 8">
          <a:extLst>
            <a:ext uri="{FF2B5EF4-FFF2-40B4-BE49-F238E27FC236}">
              <a16:creationId xmlns:a16="http://schemas.microsoft.com/office/drawing/2014/main" id="{85DD44AE-0F48-BC62-7E43-D04451663790}"/>
            </a:ext>
          </a:extLst>
        </xdr:cNvPr>
        <xdr:cNvGrpSpPr/>
      </xdr:nvGrpSpPr>
      <xdr:grpSpPr>
        <a:xfrm>
          <a:off x="5130800" y="850900"/>
          <a:ext cx="2082800" cy="965200"/>
          <a:chOff x="114300" y="825500"/>
          <a:chExt cx="2082800" cy="965200"/>
        </a:xfrm>
      </xdr:grpSpPr>
      <xdr:sp macro="" textlink="">
        <xdr:nvSpPr>
          <xdr:cNvPr id="10" name="Rectangle: Rounded Corners 9">
            <a:extLst>
              <a:ext uri="{FF2B5EF4-FFF2-40B4-BE49-F238E27FC236}">
                <a16:creationId xmlns:a16="http://schemas.microsoft.com/office/drawing/2014/main" id="{E41ADE5A-DF40-311A-21EF-6C45FB4A899F}"/>
              </a:ext>
            </a:extLst>
          </xdr:cNvPr>
          <xdr:cNvSpPr/>
        </xdr:nvSpPr>
        <xdr:spPr>
          <a:xfrm>
            <a:off x="215900" y="825500"/>
            <a:ext cx="1943100" cy="965200"/>
          </a:xfrm>
          <a:prstGeom prst="roundRect">
            <a:avLst>
              <a:gd name="adj" fmla="val 7456"/>
            </a:avLst>
          </a:prstGeom>
          <a:solidFill>
            <a:srgbClr val="002060"/>
          </a:solidFill>
          <a:ln>
            <a:solidFill>
              <a:srgbClr val="FFC000"/>
            </a:solidFill>
          </a:ln>
          <a:effectLst>
            <a:outerShdw blurRad="63500" dist="76200" dir="2700000" algn="tl" rotWithShape="0">
              <a:prstClr val="black">
                <a:alpha val="7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a:solidFill>
                <a:schemeClr val="lt1"/>
              </a:solidFill>
              <a:latin typeface="+mj-lt"/>
              <a:ea typeface="+mn-ea"/>
              <a:cs typeface="+mn-cs"/>
            </a:endParaRPr>
          </a:p>
        </xdr:txBody>
      </xdr:sp>
      <xdr:sp macro="" textlink="">
        <xdr:nvSpPr>
          <xdr:cNvPr id="11" name="Rectangle: Rounded Corners 10">
            <a:extLst>
              <a:ext uri="{FF2B5EF4-FFF2-40B4-BE49-F238E27FC236}">
                <a16:creationId xmlns:a16="http://schemas.microsoft.com/office/drawing/2014/main" id="{BB486411-ECB4-7F5E-2618-927C0FD7A5FE}"/>
              </a:ext>
            </a:extLst>
          </xdr:cNvPr>
          <xdr:cNvSpPr/>
        </xdr:nvSpPr>
        <xdr:spPr>
          <a:xfrm>
            <a:off x="330200" y="901700"/>
            <a:ext cx="571500" cy="88900"/>
          </a:xfrm>
          <a:prstGeom prst="roundRect">
            <a:avLst>
              <a:gd name="adj" fmla="val 50000"/>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C83448B1-7995-8151-7291-53FE7D92220C}"/>
              </a:ext>
            </a:extLst>
          </xdr:cNvPr>
          <xdr:cNvSpPr txBox="1"/>
        </xdr:nvSpPr>
        <xdr:spPr>
          <a:xfrm>
            <a:off x="190500" y="1028700"/>
            <a:ext cx="20066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mj-lt"/>
              </a:rPr>
              <a:t>Average Salary</a:t>
            </a:r>
          </a:p>
        </xdr:txBody>
      </xdr:sp>
      <xdr:sp macro="" textlink="Analysis!K9">
        <xdr:nvSpPr>
          <xdr:cNvPr id="13" name="TextBox 12">
            <a:extLst>
              <a:ext uri="{FF2B5EF4-FFF2-40B4-BE49-F238E27FC236}">
                <a16:creationId xmlns:a16="http://schemas.microsoft.com/office/drawing/2014/main" id="{F5B10236-728C-5E88-1ED2-FA7A2552BBD1}"/>
              </a:ext>
            </a:extLst>
          </xdr:cNvPr>
          <xdr:cNvSpPr txBox="1"/>
        </xdr:nvSpPr>
        <xdr:spPr>
          <a:xfrm>
            <a:off x="114300" y="1270000"/>
            <a:ext cx="20066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E340CE9-6DA4-4A97-9685-6542B0F0C873}" type="TxLink">
              <a:rPr lang="en-US" sz="2800" b="1" i="0" u="none" strike="noStrike">
                <a:solidFill>
                  <a:srgbClr val="FFC000"/>
                </a:solidFill>
                <a:latin typeface="+mj-lt"/>
                <a:ea typeface="Calibri"/>
                <a:cs typeface="Calibri"/>
              </a:rPr>
              <a:pPr marL="0" indent="0" algn="ctr"/>
              <a:t>$83,743</a:t>
            </a:fld>
            <a:endParaRPr lang="en-US" sz="6000" b="1" i="0" u="none" strike="noStrike">
              <a:solidFill>
                <a:srgbClr val="FFC000"/>
              </a:solidFill>
              <a:latin typeface="+mj-lt"/>
              <a:ea typeface="+mn-ea"/>
              <a:cs typeface="+mn-cs"/>
            </a:endParaRPr>
          </a:p>
        </xdr:txBody>
      </xdr:sp>
    </xdr:grpSp>
    <xdr:clientData/>
  </xdr:twoCellAnchor>
  <xdr:twoCellAnchor>
    <xdr:from>
      <xdr:col>12</xdr:col>
      <xdr:colOff>114300</xdr:colOff>
      <xdr:row>4</xdr:row>
      <xdr:rowOff>139700</xdr:rowOff>
    </xdr:from>
    <xdr:to>
      <xdr:col>15</xdr:col>
      <xdr:colOff>330200</xdr:colOff>
      <xdr:row>10</xdr:row>
      <xdr:rowOff>38100</xdr:rowOff>
    </xdr:to>
    <xdr:grpSp>
      <xdr:nvGrpSpPr>
        <xdr:cNvPr id="14" name="Group 13">
          <a:extLst>
            <a:ext uri="{FF2B5EF4-FFF2-40B4-BE49-F238E27FC236}">
              <a16:creationId xmlns:a16="http://schemas.microsoft.com/office/drawing/2014/main" id="{ECAEA385-2A28-D756-6B3A-9FE67219F4B2}"/>
            </a:ext>
          </a:extLst>
        </xdr:cNvPr>
        <xdr:cNvGrpSpPr/>
      </xdr:nvGrpSpPr>
      <xdr:grpSpPr>
        <a:xfrm>
          <a:off x="7429500" y="850900"/>
          <a:ext cx="2044700" cy="965200"/>
          <a:chOff x="152400" y="800100"/>
          <a:chExt cx="2044700" cy="965200"/>
        </a:xfrm>
      </xdr:grpSpPr>
      <xdr:sp macro="" textlink="">
        <xdr:nvSpPr>
          <xdr:cNvPr id="15" name="Rectangle: Rounded Corners 14">
            <a:extLst>
              <a:ext uri="{FF2B5EF4-FFF2-40B4-BE49-F238E27FC236}">
                <a16:creationId xmlns:a16="http://schemas.microsoft.com/office/drawing/2014/main" id="{D6A503C6-AA87-9475-FB6C-EF5812490C76}"/>
              </a:ext>
            </a:extLst>
          </xdr:cNvPr>
          <xdr:cNvSpPr/>
        </xdr:nvSpPr>
        <xdr:spPr>
          <a:xfrm>
            <a:off x="215900" y="800100"/>
            <a:ext cx="1943100" cy="965200"/>
          </a:xfrm>
          <a:prstGeom prst="roundRect">
            <a:avLst>
              <a:gd name="adj" fmla="val 7456"/>
            </a:avLst>
          </a:prstGeom>
          <a:solidFill>
            <a:srgbClr val="002060"/>
          </a:solidFill>
          <a:ln>
            <a:solidFill>
              <a:srgbClr val="FFC000"/>
            </a:solidFill>
          </a:ln>
          <a:effectLst>
            <a:outerShdw blurRad="63500" dist="76200" dir="2700000" algn="tl" rotWithShape="0">
              <a:prstClr val="black">
                <a:alpha val="7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a:solidFill>
                <a:schemeClr val="lt1"/>
              </a:solidFill>
              <a:latin typeface="+mj-lt"/>
              <a:ea typeface="+mn-ea"/>
              <a:cs typeface="+mn-cs"/>
            </a:endParaRPr>
          </a:p>
        </xdr:txBody>
      </xdr:sp>
      <xdr:sp macro="" textlink="">
        <xdr:nvSpPr>
          <xdr:cNvPr id="16" name="Rectangle: Rounded Corners 15">
            <a:extLst>
              <a:ext uri="{FF2B5EF4-FFF2-40B4-BE49-F238E27FC236}">
                <a16:creationId xmlns:a16="http://schemas.microsoft.com/office/drawing/2014/main" id="{6F49E151-87D5-3559-A0FC-FDE826663594}"/>
              </a:ext>
            </a:extLst>
          </xdr:cNvPr>
          <xdr:cNvSpPr/>
        </xdr:nvSpPr>
        <xdr:spPr>
          <a:xfrm>
            <a:off x="330200" y="876300"/>
            <a:ext cx="571500" cy="88900"/>
          </a:xfrm>
          <a:prstGeom prst="roundRect">
            <a:avLst>
              <a:gd name="adj" fmla="val 50000"/>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D3201B7E-3D20-1BF5-D299-E3B559542F9C}"/>
              </a:ext>
            </a:extLst>
          </xdr:cNvPr>
          <xdr:cNvSpPr txBox="1"/>
        </xdr:nvSpPr>
        <xdr:spPr>
          <a:xfrm>
            <a:off x="190500" y="1003300"/>
            <a:ext cx="20066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mj-lt"/>
              </a:rPr>
              <a:t>Attrition Rate</a:t>
            </a:r>
          </a:p>
        </xdr:txBody>
      </xdr:sp>
      <xdr:sp macro="" textlink="Analysis!K14">
        <xdr:nvSpPr>
          <xdr:cNvPr id="18" name="TextBox 17">
            <a:extLst>
              <a:ext uri="{FF2B5EF4-FFF2-40B4-BE49-F238E27FC236}">
                <a16:creationId xmlns:a16="http://schemas.microsoft.com/office/drawing/2014/main" id="{F75701E3-8617-B51B-4FF3-D409B7F06C0D}"/>
              </a:ext>
            </a:extLst>
          </xdr:cNvPr>
          <xdr:cNvSpPr txBox="1"/>
        </xdr:nvSpPr>
        <xdr:spPr>
          <a:xfrm>
            <a:off x="152400" y="1244600"/>
            <a:ext cx="20066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A87BA9-3F55-4D02-9027-5A7772142E97}" type="TxLink">
              <a:rPr lang="en-US" sz="2800" b="1" i="0" u="none" strike="noStrike">
                <a:solidFill>
                  <a:srgbClr val="FFC000"/>
                </a:solidFill>
                <a:latin typeface="+mj-lt"/>
                <a:ea typeface="Calibri"/>
                <a:cs typeface="Calibri"/>
              </a:rPr>
              <a:pPr marL="0" indent="0" algn="ctr"/>
              <a:t>22.7%</a:t>
            </a:fld>
            <a:endParaRPr lang="en-US" sz="6000" b="1">
              <a:solidFill>
                <a:srgbClr val="FFC000"/>
              </a:solidFill>
              <a:latin typeface="+mj-lt"/>
              <a:ea typeface="+mn-ea"/>
              <a:cs typeface="+mn-cs"/>
            </a:endParaRPr>
          </a:p>
        </xdr:txBody>
      </xdr:sp>
    </xdr:grpSp>
    <xdr:clientData/>
  </xdr:twoCellAnchor>
  <xdr:twoCellAnchor>
    <xdr:from>
      <xdr:col>15</xdr:col>
      <xdr:colOff>584200</xdr:colOff>
      <xdr:row>4</xdr:row>
      <xdr:rowOff>139700</xdr:rowOff>
    </xdr:from>
    <xdr:to>
      <xdr:col>19</xdr:col>
      <xdr:colOff>190500</xdr:colOff>
      <xdr:row>10</xdr:row>
      <xdr:rowOff>38100</xdr:rowOff>
    </xdr:to>
    <xdr:grpSp>
      <xdr:nvGrpSpPr>
        <xdr:cNvPr id="19" name="Group 18">
          <a:extLst>
            <a:ext uri="{FF2B5EF4-FFF2-40B4-BE49-F238E27FC236}">
              <a16:creationId xmlns:a16="http://schemas.microsoft.com/office/drawing/2014/main" id="{85DC3D6A-0574-17C9-63BB-C00D467FA0BC}"/>
            </a:ext>
          </a:extLst>
        </xdr:cNvPr>
        <xdr:cNvGrpSpPr/>
      </xdr:nvGrpSpPr>
      <xdr:grpSpPr>
        <a:xfrm>
          <a:off x="9728200" y="850900"/>
          <a:ext cx="2044700" cy="965200"/>
          <a:chOff x="190500" y="774700"/>
          <a:chExt cx="2044700" cy="965200"/>
        </a:xfrm>
      </xdr:grpSpPr>
      <xdr:sp macro="" textlink="">
        <xdr:nvSpPr>
          <xdr:cNvPr id="20" name="Rectangle: Rounded Corners 19">
            <a:extLst>
              <a:ext uri="{FF2B5EF4-FFF2-40B4-BE49-F238E27FC236}">
                <a16:creationId xmlns:a16="http://schemas.microsoft.com/office/drawing/2014/main" id="{00EBFED6-F5B1-A24B-DE90-5A39A8C916AB}"/>
              </a:ext>
            </a:extLst>
          </xdr:cNvPr>
          <xdr:cNvSpPr/>
        </xdr:nvSpPr>
        <xdr:spPr>
          <a:xfrm>
            <a:off x="215900" y="774700"/>
            <a:ext cx="1943100" cy="965200"/>
          </a:xfrm>
          <a:prstGeom prst="roundRect">
            <a:avLst>
              <a:gd name="adj" fmla="val 7456"/>
            </a:avLst>
          </a:prstGeom>
          <a:solidFill>
            <a:srgbClr val="002060"/>
          </a:solidFill>
          <a:ln>
            <a:solidFill>
              <a:srgbClr val="FFC000"/>
            </a:solidFill>
          </a:ln>
          <a:effectLst>
            <a:outerShdw blurRad="63500" dist="76200" dir="2700000" algn="tl" rotWithShape="0">
              <a:prstClr val="black">
                <a:alpha val="7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a:solidFill>
                <a:schemeClr val="lt1"/>
              </a:solidFill>
              <a:latin typeface="+mj-lt"/>
              <a:ea typeface="+mn-ea"/>
              <a:cs typeface="+mn-cs"/>
            </a:endParaRPr>
          </a:p>
        </xdr:txBody>
      </xdr:sp>
      <xdr:sp macro="" textlink="">
        <xdr:nvSpPr>
          <xdr:cNvPr id="21" name="Rectangle: Rounded Corners 20">
            <a:extLst>
              <a:ext uri="{FF2B5EF4-FFF2-40B4-BE49-F238E27FC236}">
                <a16:creationId xmlns:a16="http://schemas.microsoft.com/office/drawing/2014/main" id="{0B4457DE-72C6-84DB-1045-D90D045D7768}"/>
              </a:ext>
            </a:extLst>
          </xdr:cNvPr>
          <xdr:cNvSpPr/>
        </xdr:nvSpPr>
        <xdr:spPr>
          <a:xfrm>
            <a:off x="330200" y="838200"/>
            <a:ext cx="571500" cy="88900"/>
          </a:xfrm>
          <a:prstGeom prst="roundRect">
            <a:avLst>
              <a:gd name="adj" fmla="val 50000"/>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995AC461-3D85-E62A-99F8-15568AC15D30}"/>
              </a:ext>
            </a:extLst>
          </xdr:cNvPr>
          <xdr:cNvSpPr txBox="1"/>
        </xdr:nvSpPr>
        <xdr:spPr>
          <a:xfrm>
            <a:off x="228600" y="952500"/>
            <a:ext cx="20066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j-lt"/>
              </a:rPr>
              <a:t>Projected Bonus Payout</a:t>
            </a:r>
          </a:p>
        </xdr:txBody>
      </xdr:sp>
      <xdr:sp macro="" textlink="Analysis!K19">
        <xdr:nvSpPr>
          <xdr:cNvPr id="23" name="TextBox 22">
            <a:extLst>
              <a:ext uri="{FF2B5EF4-FFF2-40B4-BE49-F238E27FC236}">
                <a16:creationId xmlns:a16="http://schemas.microsoft.com/office/drawing/2014/main" id="{5C5F0952-37BC-6EAB-E7F3-3536FE741C38}"/>
              </a:ext>
            </a:extLst>
          </xdr:cNvPr>
          <xdr:cNvSpPr txBox="1"/>
        </xdr:nvSpPr>
        <xdr:spPr>
          <a:xfrm>
            <a:off x="190500" y="1219200"/>
            <a:ext cx="20066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AB6DC33-739C-4120-8053-6D4673B3D448}" type="TxLink">
              <a:rPr lang="en-US" sz="2800" b="1" i="0" u="none" strike="noStrike">
                <a:solidFill>
                  <a:srgbClr val="FFC000"/>
                </a:solidFill>
                <a:latin typeface="+mj-lt"/>
                <a:ea typeface="Calibri"/>
                <a:cs typeface="Calibri"/>
              </a:rPr>
              <a:pPr marL="0" indent="0" algn="ctr"/>
              <a:t>$502,263</a:t>
            </a:fld>
            <a:endParaRPr lang="en-US" sz="6000" b="1">
              <a:solidFill>
                <a:srgbClr val="FFC000"/>
              </a:solidFill>
              <a:latin typeface="+mj-lt"/>
              <a:ea typeface="+mn-ea"/>
              <a:cs typeface="+mn-cs"/>
            </a:endParaRPr>
          </a:p>
        </xdr:txBody>
      </xdr:sp>
    </xdr:grpSp>
    <xdr:clientData/>
  </xdr:twoCellAnchor>
  <xdr:twoCellAnchor editAs="oneCell">
    <xdr:from>
      <xdr:col>0</xdr:col>
      <xdr:colOff>124460</xdr:colOff>
      <xdr:row>4</xdr:row>
      <xdr:rowOff>114301</xdr:rowOff>
    </xdr:from>
    <xdr:to>
      <xdr:col>3</xdr:col>
      <xdr:colOff>391160</xdr:colOff>
      <xdr:row>15</xdr:row>
      <xdr:rowOff>165100</xdr:rowOff>
    </xdr:to>
    <mc:AlternateContent xmlns:mc="http://schemas.openxmlformats.org/markup-compatibility/2006" xmlns:a14="http://schemas.microsoft.com/office/drawing/2010/main">
      <mc:Choice Requires="a14">
        <xdr:graphicFrame macro="">
          <xdr:nvGraphicFramePr>
            <xdr:cNvPr id="24" name="Department Name">
              <a:extLst>
                <a:ext uri="{FF2B5EF4-FFF2-40B4-BE49-F238E27FC236}">
                  <a16:creationId xmlns:a16="http://schemas.microsoft.com/office/drawing/2014/main" id="{837DA579-A543-4A7F-ABC1-4E37A701D705}"/>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124460" y="825501"/>
              <a:ext cx="2095500" cy="2006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124460</xdr:colOff>
      <xdr:row>16</xdr:row>
      <xdr:rowOff>97791</xdr:rowOff>
    </xdr:from>
    <xdr:to>
      <xdr:col>3</xdr:col>
      <xdr:colOff>381000</xdr:colOff>
      <xdr:row>21</xdr:row>
      <xdr:rowOff>100331</xdr:rowOff>
    </xdr:to>
    <mc:AlternateContent xmlns:mc="http://schemas.openxmlformats.org/markup-compatibility/2006" xmlns:a14="http://schemas.microsoft.com/office/drawing/2010/main">
      <mc:Choice Requires="a14">
        <xdr:graphicFrame macro="">
          <xdr:nvGraphicFramePr>
            <xdr:cNvPr id="25" name="Employment Status">
              <a:extLst>
                <a:ext uri="{FF2B5EF4-FFF2-40B4-BE49-F238E27FC236}">
                  <a16:creationId xmlns:a16="http://schemas.microsoft.com/office/drawing/2014/main" id="{ECEA409C-A3C9-423E-867F-0A36EC07EE54}"/>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mlns="">
        <xdr:sp macro="" textlink="">
          <xdr:nvSpPr>
            <xdr:cNvPr id="0" name=""/>
            <xdr:cNvSpPr>
              <a:spLocks noTextEdit="1"/>
            </xdr:cNvSpPr>
          </xdr:nvSpPr>
          <xdr:spPr>
            <a:xfrm>
              <a:off x="124460" y="2942591"/>
              <a:ext cx="208534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124460</xdr:colOff>
      <xdr:row>22</xdr:row>
      <xdr:rowOff>33021</xdr:rowOff>
    </xdr:from>
    <xdr:to>
      <xdr:col>3</xdr:col>
      <xdr:colOff>393700</xdr:colOff>
      <xdr:row>31</xdr:row>
      <xdr:rowOff>152401</xdr:rowOff>
    </xdr:to>
    <mc:AlternateContent xmlns:mc="http://schemas.openxmlformats.org/markup-compatibility/2006" xmlns:a14="http://schemas.microsoft.com/office/drawing/2010/main">
      <mc:Choice Requires="a14">
        <xdr:graphicFrame macro="">
          <xdr:nvGraphicFramePr>
            <xdr:cNvPr id="26" name="Performance Band">
              <a:extLst>
                <a:ext uri="{FF2B5EF4-FFF2-40B4-BE49-F238E27FC236}">
                  <a16:creationId xmlns:a16="http://schemas.microsoft.com/office/drawing/2014/main" id="{1E545A29-6A3E-4C43-AFCC-318D1B7B1619}"/>
                </a:ext>
              </a:extLst>
            </xdr:cNvPr>
            <xdr:cNvGraphicFramePr/>
          </xdr:nvGraphicFramePr>
          <xdr:xfrm>
            <a:off x="0" y="0"/>
            <a:ext cx="0" cy="0"/>
          </xdr:xfrm>
          <a:graphic>
            <a:graphicData uri="http://schemas.microsoft.com/office/drawing/2010/slicer">
              <sle:slicer xmlns:sle="http://schemas.microsoft.com/office/drawing/2010/slicer" name="Performance Band"/>
            </a:graphicData>
          </a:graphic>
        </xdr:graphicFrame>
      </mc:Choice>
      <mc:Fallback xmlns="">
        <xdr:sp macro="" textlink="">
          <xdr:nvSpPr>
            <xdr:cNvPr id="0" name=""/>
            <xdr:cNvSpPr>
              <a:spLocks noTextEdit="1"/>
            </xdr:cNvSpPr>
          </xdr:nvSpPr>
          <xdr:spPr>
            <a:xfrm>
              <a:off x="124460" y="3944621"/>
              <a:ext cx="2098040" cy="1719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533400</xdr:colOff>
      <xdr:row>11</xdr:row>
      <xdr:rowOff>38100</xdr:rowOff>
    </xdr:from>
    <xdr:to>
      <xdr:col>11</xdr:col>
      <xdr:colOff>546100</xdr:colOff>
      <xdr:row>25</xdr:row>
      <xdr:rowOff>38100</xdr:rowOff>
    </xdr:to>
    <xdr:sp macro="" textlink="">
      <xdr:nvSpPr>
        <xdr:cNvPr id="27" name="Rectangle: Rounded Corners 26">
          <a:extLst>
            <a:ext uri="{FF2B5EF4-FFF2-40B4-BE49-F238E27FC236}">
              <a16:creationId xmlns:a16="http://schemas.microsoft.com/office/drawing/2014/main" id="{D875CB3F-182C-0A6E-7627-3E22714F17B1}"/>
            </a:ext>
          </a:extLst>
        </xdr:cNvPr>
        <xdr:cNvSpPr/>
      </xdr:nvSpPr>
      <xdr:spPr>
        <a:xfrm>
          <a:off x="2362200" y="1993900"/>
          <a:ext cx="4889500" cy="2489200"/>
        </a:xfrm>
        <a:prstGeom prst="roundRect">
          <a:avLst>
            <a:gd name="adj" fmla="val 5556"/>
          </a:avLst>
        </a:prstGeom>
        <a:solidFill>
          <a:srgbClr val="002060"/>
        </a:solidFill>
        <a:ln>
          <a:solidFill>
            <a:srgbClr val="FFC000"/>
          </a:solidFill>
        </a:ln>
        <a:effectLst>
          <a:outerShdw blurRad="63500" dist="76200" dir="2700000" algn="tl" rotWithShape="0">
            <a:prstClr val="black">
              <a:alpha val="7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a:solidFill>
              <a:schemeClr val="lt1"/>
            </a:solidFill>
            <a:latin typeface="+mj-lt"/>
            <a:ea typeface="+mn-ea"/>
            <a:cs typeface="+mn-cs"/>
          </a:endParaRPr>
        </a:p>
      </xdr:txBody>
    </xdr:sp>
    <xdr:clientData/>
  </xdr:twoCellAnchor>
  <xdr:twoCellAnchor>
    <xdr:from>
      <xdr:col>3</xdr:col>
      <xdr:colOff>533400</xdr:colOff>
      <xdr:row>26</xdr:row>
      <xdr:rowOff>0</xdr:rowOff>
    </xdr:from>
    <xdr:to>
      <xdr:col>11</xdr:col>
      <xdr:colOff>548640</xdr:colOff>
      <xdr:row>39</xdr:row>
      <xdr:rowOff>175768</xdr:rowOff>
    </xdr:to>
    <xdr:sp macro="" textlink="">
      <xdr:nvSpPr>
        <xdr:cNvPr id="29" name="Rectangle: Rounded Corners 28">
          <a:extLst>
            <a:ext uri="{FF2B5EF4-FFF2-40B4-BE49-F238E27FC236}">
              <a16:creationId xmlns:a16="http://schemas.microsoft.com/office/drawing/2014/main" id="{A221D4D0-423B-CD9D-9534-2A64931345AD}"/>
            </a:ext>
          </a:extLst>
        </xdr:cNvPr>
        <xdr:cNvSpPr/>
      </xdr:nvSpPr>
      <xdr:spPr>
        <a:xfrm>
          <a:off x="2362200" y="4622800"/>
          <a:ext cx="4892040" cy="2487168"/>
        </a:xfrm>
        <a:prstGeom prst="roundRect">
          <a:avLst>
            <a:gd name="adj" fmla="val 5556"/>
          </a:avLst>
        </a:prstGeom>
        <a:solidFill>
          <a:srgbClr val="002060"/>
        </a:solidFill>
        <a:ln>
          <a:solidFill>
            <a:srgbClr val="FFC000"/>
          </a:solidFill>
        </a:ln>
        <a:effectLst>
          <a:outerShdw blurRad="63500" dist="76200" dir="2700000" algn="tl" rotWithShape="0">
            <a:prstClr val="black">
              <a:alpha val="7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a:solidFill>
              <a:schemeClr val="lt1"/>
            </a:solidFill>
            <a:latin typeface="+mj-lt"/>
            <a:ea typeface="+mn-ea"/>
            <a:cs typeface="+mn-cs"/>
          </a:endParaRPr>
        </a:p>
      </xdr:txBody>
    </xdr:sp>
    <xdr:clientData/>
  </xdr:twoCellAnchor>
  <xdr:twoCellAnchor>
    <xdr:from>
      <xdr:col>12</xdr:col>
      <xdr:colOff>215900</xdr:colOff>
      <xdr:row>11</xdr:row>
      <xdr:rowOff>50800</xdr:rowOff>
    </xdr:from>
    <xdr:to>
      <xdr:col>20</xdr:col>
      <xdr:colOff>231140</xdr:colOff>
      <xdr:row>25</xdr:row>
      <xdr:rowOff>48768</xdr:rowOff>
    </xdr:to>
    <xdr:sp macro="" textlink="">
      <xdr:nvSpPr>
        <xdr:cNvPr id="30" name="Rectangle: Rounded Corners 29">
          <a:extLst>
            <a:ext uri="{FF2B5EF4-FFF2-40B4-BE49-F238E27FC236}">
              <a16:creationId xmlns:a16="http://schemas.microsoft.com/office/drawing/2014/main" id="{22AD6CE3-FBEA-FE9C-093A-8DABAC352CD6}"/>
            </a:ext>
          </a:extLst>
        </xdr:cNvPr>
        <xdr:cNvSpPr/>
      </xdr:nvSpPr>
      <xdr:spPr>
        <a:xfrm>
          <a:off x="7531100" y="2006600"/>
          <a:ext cx="4892040" cy="2487168"/>
        </a:xfrm>
        <a:prstGeom prst="roundRect">
          <a:avLst>
            <a:gd name="adj" fmla="val 5556"/>
          </a:avLst>
        </a:prstGeom>
        <a:solidFill>
          <a:srgbClr val="002060"/>
        </a:solidFill>
        <a:ln>
          <a:solidFill>
            <a:srgbClr val="FFC000"/>
          </a:solidFill>
        </a:ln>
        <a:effectLst>
          <a:outerShdw blurRad="63500" dist="76200" dir="2700000" algn="tl" rotWithShape="0">
            <a:prstClr val="black">
              <a:alpha val="7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a:solidFill>
              <a:schemeClr val="lt1"/>
            </a:solidFill>
            <a:latin typeface="+mj-lt"/>
            <a:ea typeface="+mn-ea"/>
            <a:cs typeface="+mn-cs"/>
          </a:endParaRPr>
        </a:p>
      </xdr:txBody>
    </xdr:sp>
    <xdr:clientData/>
  </xdr:twoCellAnchor>
  <xdr:twoCellAnchor>
    <xdr:from>
      <xdr:col>12</xdr:col>
      <xdr:colOff>203200</xdr:colOff>
      <xdr:row>26</xdr:row>
      <xdr:rowOff>12700</xdr:rowOff>
    </xdr:from>
    <xdr:to>
      <xdr:col>20</xdr:col>
      <xdr:colOff>218440</xdr:colOff>
      <xdr:row>40</xdr:row>
      <xdr:rowOff>10668</xdr:rowOff>
    </xdr:to>
    <xdr:sp macro="" textlink="">
      <xdr:nvSpPr>
        <xdr:cNvPr id="32" name="Rectangle: Rounded Corners 31">
          <a:extLst>
            <a:ext uri="{FF2B5EF4-FFF2-40B4-BE49-F238E27FC236}">
              <a16:creationId xmlns:a16="http://schemas.microsoft.com/office/drawing/2014/main" id="{772EE39C-FD38-1639-EEFA-F2D710EA98A9}"/>
            </a:ext>
          </a:extLst>
        </xdr:cNvPr>
        <xdr:cNvSpPr/>
      </xdr:nvSpPr>
      <xdr:spPr>
        <a:xfrm>
          <a:off x="7518400" y="4635500"/>
          <a:ext cx="4892040" cy="2487168"/>
        </a:xfrm>
        <a:prstGeom prst="roundRect">
          <a:avLst>
            <a:gd name="adj" fmla="val 5556"/>
          </a:avLst>
        </a:prstGeom>
        <a:solidFill>
          <a:srgbClr val="002060"/>
        </a:solidFill>
        <a:ln>
          <a:solidFill>
            <a:srgbClr val="FFC000"/>
          </a:solidFill>
        </a:ln>
        <a:effectLst>
          <a:outerShdw blurRad="63500" dist="76200" dir="2700000" algn="tl" rotWithShape="0">
            <a:prstClr val="black">
              <a:alpha val="7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a:solidFill>
              <a:schemeClr val="lt1"/>
            </a:solidFill>
            <a:latin typeface="+mj-lt"/>
            <a:ea typeface="+mn-ea"/>
            <a:cs typeface="+mn-cs"/>
          </a:endParaRPr>
        </a:p>
      </xdr:txBody>
    </xdr:sp>
    <xdr:clientData/>
  </xdr:twoCellAnchor>
  <xdr:twoCellAnchor>
    <xdr:from>
      <xdr:col>4</xdr:col>
      <xdr:colOff>203200</xdr:colOff>
      <xdr:row>11</xdr:row>
      <xdr:rowOff>63500</xdr:rowOff>
    </xdr:from>
    <xdr:to>
      <xdr:col>11</xdr:col>
      <xdr:colOff>241300</xdr:colOff>
      <xdr:row>24</xdr:row>
      <xdr:rowOff>152400</xdr:rowOff>
    </xdr:to>
    <xdr:graphicFrame macro="">
      <xdr:nvGraphicFramePr>
        <xdr:cNvPr id="34" name="Chart 33">
          <a:extLst>
            <a:ext uri="{FF2B5EF4-FFF2-40B4-BE49-F238E27FC236}">
              <a16:creationId xmlns:a16="http://schemas.microsoft.com/office/drawing/2014/main" id="{B6EC7E21-52D5-4301-8E6D-6D485B577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177800</xdr:colOff>
      <xdr:row>11</xdr:row>
      <xdr:rowOff>12700</xdr:rowOff>
    </xdr:from>
    <xdr:to>
      <xdr:col>20</xdr:col>
      <xdr:colOff>127000</xdr:colOff>
      <xdr:row>25</xdr:row>
      <xdr:rowOff>88900</xdr:rowOff>
    </xdr:to>
    <xdr:graphicFrame macro="">
      <xdr:nvGraphicFramePr>
        <xdr:cNvPr id="35" name="Chart 34">
          <a:extLst>
            <a:ext uri="{FF2B5EF4-FFF2-40B4-BE49-F238E27FC236}">
              <a16:creationId xmlns:a16="http://schemas.microsoft.com/office/drawing/2014/main" id="{E1FC918B-C8F2-4CC4-89C8-55AFDF03A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177800</xdr:colOff>
      <xdr:row>25</xdr:row>
      <xdr:rowOff>127000</xdr:rowOff>
    </xdr:from>
    <xdr:to>
      <xdr:col>20</xdr:col>
      <xdr:colOff>177800</xdr:colOff>
      <xdr:row>40</xdr:row>
      <xdr:rowOff>0</xdr:rowOff>
    </xdr:to>
    <xdr:graphicFrame macro="">
      <xdr:nvGraphicFramePr>
        <xdr:cNvPr id="37" name="Chart 36">
          <a:extLst>
            <a:ext uri="{FF2B5EF4-FFF2-40B4-BE49-F238E27FC236}">
              <a16:creationId xmlns:a16="http://schemas.microsoft.com/office/drawing/2014/main" id="{5D61EBD7-DC36-404D-B211-5B2104670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482600</xdr:colOff>
      <xdr:row>26</xdr:row>
      <xdr:rowOff>25400</xdr:rowOff>
    </xdr:from>
    <xdr:to>
      <xdr:col>12</xdr:col>
      <xdr:colOff>12700</xdr:colOff>
      <xdr:row>39</xdr:row>
      <xdr:rowOff>127000</xdr:rowOff>
    </xdr:to>
    <xdr:graphicFrame macro="">
      <xdr:nvGraphicFramePr>
        <xdr:cNvPr id="8" name="Chart 7">
          <a:extLst>
            <a:ext uri="{FF2B5EF4-FFF2-40B4-BE49-F238E27FC236}">
              <a16:creationId xmlns:a16="http://schemas.microsoft.com/office/drawing/2014/main" id="{6A47A03C-66DA-4D04-865E-B4D1C44C9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9.427999768515" createdVersion="8" refreshedVersion="8" minRefreshableVersion="3" recordCount="150" xr:uid="{969AA868-61FD-4E1F-86D3-9B3D2AA49B2F}">
  <cacheSource type="worksheet">
    <worksheetSource name="base_cleaned"/>
  </cacheSource>
  <cacheFields count="14">
    <cacheField name="Emp ID" numFmtId="0">
      <sharedItems count="150">
        <s v="EMP127"/>
        <s v="EMP134"/>
        <s v="EMP112"/>
        <s v="EMP046"/>
        <s v="EMP139"/>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sharedItems>
    </cacheField>
    <cacheField name="First_Name" numFmtId="0">
      <sharedItems containsBlank="1"/>
    </cacheField>
    <cacheField name="Last_Name" numFmtId="0">
      <sharedItems/>
    </cacheField>
    <cacheField name="Full_name" numFmtId="0">
      <sharedItems/>
    </cacheField>
    <cacheField name="Dept Code" numFmtId="0">
      <sharedItems/>
    </cacheField>
    <cacheField name="Department Name" numFmtId="0">
      <sharedItems count="6">
        <s v="Information Technology"/>
        <s v="Marketing"/>
        <s v="Finance"/>
        <s v="Operations"/>
        <s v="Sales"/>
        <s v="Human Resources"/>
      </sharedItems>
    </cacheField>
    <cacheField name="Hire Date" numFmtId="14">
      <sharedItems containsSemiMixedTypes="0" containsNonDate="0" containsDate="1" containsString="0" minDate="2015-01-04T00:00:00" maxDate="2023-12-13T00:00:00" count="147">
        <d v="2017-12-24T00:00:00"/>
        <d v="2016-03-02T00:00:00"/>
        <d v="2023-02-20T00:00:00"/>
        <d v="2022-04-08T00:00:00"/>
        <d v="2023-07-03T00:00:00"/>
        <d v="2020-03-02T00:00:00"/>
        <d v="2023-12-12T00:00:00"/>
        <d v="2020-12-09T00:00:00"/>
        <d v="2018-01-07T00:00:00"/>
        <d v="2016-11-02T00:00:00"/>
        <d v="2020-03-21T00:00:00"/>
        <d v="2016-02-25T00:00:00"/>
        <d v="2021-06-17T00:00:00"/>
        <d v="2020-06-19T00:00:00"/>
        <d v="2019-12-21T00:00:00"/>
        <d v="2023-08-31T00:00:00"/>
        <d v="2015-11-29T00:00:00"/>
        <d v="2017-06-13T00:00:00"/>
        <d v="2018-05-15T00:00:00"/>
        <d v="2016-07-24T00:00:00"/>
        <d v="2017-12-07T00:00:00"/>
        <d v="2021-06-06T00:00:00"/>
        <d v="2022-09-11T00:00:00"/>
        <d v="2016-07-14T00:00:00"/>
        <d v="2022-06-16T00:00:00"/>
        <d v="2023-07-27T00:00:00"/>
        <d v="2019-09-24T00:00:00"/>
        <d v="2022-07-23T00:00:00"/>
        <d v="2018-05-13T00:00:00"/>
        <d v="2015-07-17T00:00:00"/>
        <d v="2015-08-05T00:00:00"/>
        <d v="2023-09-26T00:00:00"/>
        <d v="2019-06-10T00:00:00"/>
        <d v="2022-01-17T00:00:00"/>
        <d v="2017-07-03T00:00:00"/>
        <d v="2015-09-01T00:00:00"/>
        <d v="2022-08-03T00:00:00"/>
        <d v="2022-06-29T00:00:00"/>
        <d v="2020-04-28T00:00:00"/>
        <d v="2017-09-09T00:00:00"/>
        <d v="2018-03-22T00:00:00"/>
        <d v="2020-05-07T00:00:00"/>
        <d v="2019-03-25T00:00:00"/>
        <d v="2019-08-09T00:00:00"/>
        <d v="2016-10-04T00:00:00"/>
        <d v="2019-07-10T00:00:00"/>
        <d v="2021-08-29T00:00:00"/>
        <d v="2017-01-26T00:00:00"/>
        <d v="2020-05-30T00:00:00"/>
        <d v="2022-02-20T00:00:00"/>
        <d v="2016-09-15T00:00:00"/>
        <d v="2019-10-07T00:00:00"/>
        <d v="2018-12-30T00:00:00"/>
        <d v="2020-12-24T00:00:00"/>
        <d v="2023-07-05T00:00:00"/>
        <d v="2020-11-13T00:00:00"/>
        <d v="2018-02-07T00:00:00"/>
        <d v="2023-11-25T00:00:00"/>
        <d v="2023-10-18T00:00:00"/>
        <d v="2020-09-05T00:00:00"/>
        <d v="2017-03-06T00:00:00"/>
        <d v="2015-04-28T00:00:00"/>
        <d v="2017-04-13T00:00:00"/>
        <d v="2022-09-23T00:00:00"/>
        <d v="2016-11-11T00:00:00"/>
        <d v="2017-03-24T00:00:00"/>
        <d v="2019-05-05T00:00:00"/>
        <d v="2021-07-25T00:00:00"/>
        <d v="2017-09-30T00:00:00"/>
        <d v="2015-07-07T00:00:00"/>
        <d v="2018-07-02T00:00:00"/>
        <d v="2022-09-15T00:00:00"/>
        <d v="2015-09-02T00:00:00"/>
        <d v="2016-10-11T00:00:00"/>
        <d v="2019-04-20T00:00:00"/>
        <d v="2017-02-19T00:00:00"/>
        <d v="2021-09-07T00:00:00"/>
        <d v="2019-05-14T00:00:00"/>
        <d v="2015-11-22T00:00:00"/>
        <d v="2018-09-29T00:00:00"/>
        <d v="2023-09-02T00:00:00"/>
        <d v="2022-07-17T00:00:00"/>
        <d v="2021-02-07T00:00:00"/>
        <d v="2023-10-04T00:00:00"/>
        <d v="2020-08-30T00:00:00"/>
        <d v="2021-08-14T00:00:00"/>
        <d v="2019-11-27T00:00:00"/>
        <d v="2017-05-25T00:00:00"/>
        <d v="2018-12-02T00:00:00"/>
        <d v="2019-06-23T00:00:00"/>
        <d v="2015-10-27T00:00:00"/>
        <d v="2018-06-19T00:00:00"/>
        <d v="2018-01-12T00:00:00"/>
        <d v="2015-01-04T00:00:00"/>
        <d v="2018-12-05T00:00:00"/>
        <d v="2021-10-13T00:00:00"/>
        <d v="2020-09-07T00:00:00"/>
        <d v="2019-03-08T00:00:00"/>
        <d v="2015-03-11T00:00:00"/>
        <d v="2023-05-09T00:00:00"/>
        <d v="2018-01-22T00:00:00"/>
        <d v="2020-02-18T00:00:00"/>
        <d v="2016-05-22T00:00:00"/>
        <d v="2021-06-02T00:00:00"/>
        <d v="2021-07-17T00:00:00"/>
        <d v="2016-11-13T00:00:00"/>
        <d v="2019-02-17T00:00:00"/>
        <d v="2016-09-12T00:00:00"/>
        <d v="2021-08-13T00:00:00"/>
        <d v="2020-06-14T00:00:00"/>
        <d v="2022-07-05T00:00:00"/>
        <d v="2016-07-10T00:00:00"/>
        <d v="2022-04-23T00:00:00"/>
        <d v="2017-05-10T00:00:00"/>
        <d v="2020-05-20T00:00:00"/>
        <d v="2023-04-20T00:00:00"/>
        <d v="2021-10-31T00:00:00"/>
        <d v="2021-10-24T00:00:00"/>
        <d v="2017-08-09T00:00:00"/>
        <d v="2023-01-04T00:00:00"/>
        <d v="2020-08-10T00:00:00"/>
        <d v="2022-04-02T00:00:00"/>
        <d v="2018-03-24T00:00:00"/>
        <d v="2018-07-24T00:00:00"/>
        <d v="2018-07-20T00:00:00"/>
        <d v="2016-03-04T00:00:00"/>
        <d v="2022-03-23T00:00:00"/>
        <d v="2017-07-28T00:00:00"/>
        <d v="2023-05-11T00:00:00"/>
        <d v="2022-03-19T00:00:00"/>
        <d v="2017-12-22T00:00:00"/>
        <d v="2018-09-17T00:00:00"/>
        <d v="2021-06-28T00:00:00"/>
        <d v="2017-10-03T00:00:00"/>
        <d v="2015-10-22T00:00:00"/>
        <d v="2018-06-06T00:00:00"/>
        <d v="2017-07-16T00:00:00"/>
        <d v="2015-06-20T00:00:00"/>
        <d v="2019-05-24T00:00:00"/>
        <d v="2020-02-26T00:00:00"/>
        <d v="2023-03-06T00:00:00"/>
        <d v="2019-01-12T00:00:00"/>
        <d v="2023-04-21T00:00:00"/>
        <d v="2016-05-29T00:00:00"/>
        <d v="2022-05-30T00:00:00"/>
        <d v="2016-11-03T00:00:00"/>
        <d v="2022-10-14T00:00:00"/>
      </sharedItems>
    </cacheField>
    <cacheField name="Years of Service" numFmtId="1">
      <sharedItems containsSemiMixedTypes="0" containsString="0" containsNumber="1" containsInteger="1" minValue="2" maxValue="11"/>
    </cacheField>
    <cacheField name="Employment Status" numFmtId="0">
      <sharedItems count="2">
        <s v="ACTIVE"/>
        <s v="LEFT"/>
      </sharedItems>
    </cacheField>
    <cacheField name="Final Salary" numFmtId="165">
      <sharedItems containsSemiMixedTypes="0" containsString="0" containsNumber="1" containsInteger="1" minValue="45196" maxValue="118947"/>
    </cacheField>
    <cacheField name="Final Perf_Score" numFmtId="0">
      <sharedItems containsSemiMixedTypes="0" containsString="0" containsNumber="1" containsInteger="1" minValue="30" maxValue="99"/>
    </cacheField>
    <cacheField name="Performance Band" numFmtId="0">
      <sharedItems count="5">
        <s v="Developing"/>
        <s v="Needs Improvement"/>
        <s v="Achieving"/>
        <s v="Exceeding"/>
        <s v="Outstanding"/>
      </sharedItems>
    </cacheField>
    <cacheField name="Eligible Bonus Amount" numFmtId="165">
      <sharedItems containsSemiMixedTypes="0" containsString="0" containsNumber="1" minValue="0" maxValue="14273.64"/>
    </cacheField>
    <cacheField name="Attrition Flag"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120254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Emily"/>
    <s v="Brown"/>
    <s v="Emily Brown"/>
    <s v="IT02"/>
    <x v="0"/>
    <x v="0"/>
    <n v="8"/>
    <x v="0"/>
    <n v="50361"/>
    <n v="52"/>
    <x v="0"/>
    <n v="1007.22"/>
    <x v="0"/>
  </r>
  <r>
    <x v="1"/>
    <s v="Emily"/>
    <s v="Gonzalez"/>
    <s v="Emily Gonzalez"/>
    <s v="IT02"/>
    <x v="0"/>
    <x v="1"/>
    <n v="10"/>
    <x v="1"/>
    <n v="114425"/>
    <n v="54"/>
    <x v="0"/>
    <n v="2288.5"/>
    <x v="1"/>
  </r>
  <r>
    <x v="2"/>
    <s v="Thomas"/>
    <s v="Smith"/>
    <s v="Thomas Smith"/>
    <s v="IT02"/>
    <x v="0"/>
    <x v="2"/>
    <n v="3"/>
    <x v="1"/>
    <n v="73785"/>
    <n v="40"/>
    <x v="1"/>
    <n v="0"/>
    <x v="1"/>
  </r>
  <r>
    <x v="3"/>
    <s v="Richard"/>
    <s v="Hernandez"/>
    <s v="Richard Hernandez"/>
    <s v="MKT04"/>
    <x v="1"/>
    <x v="3"/>
    <n v="4"/>
    <x v="0"/>
    <n v="112673"/>
    <n v="75"/>
    <x v="2"/>
    <n v="5633.6500000000005"/>
    <x v="0"/>
  </r>
  <r>
    <x v="4"/>
    <s v="John"/>
    <s v="Martinez"/>
    <s v="John Martinez"/>
    <s v="FIN03"/>
    <x v="2"/>
    <x v="4"/>
    <n v="3"/>
    <x v="0"/>
    <n v="103831"/>
    <n v="70"/>
    <x v="2"/>
    <n v="5191.55"/>
    <x v="0"/>
  </r>
  <r>
    <x v="5"/>
    <s v="Emily"/>
    <s v="Johnson"/>
    <s v="Emily Johnson"/>
    <s v="OPS06"/>
    <x v="3"/>
    <x v="5"/>
    <n v="6"/>
    <x v="0"/>
    <n v="115882"/>
    <n v="49"/>
    <x v="1"/>
    <n v="0"/>
    <x v="0"/>
  </r>
  <r>
    <x v="6"/>
    <s v="John"/>
    <s v="Wilson"/>
    <s v="John Wilson"/>
    <s v="OPS06"/>
    <x v="3"/>
    <x v="6"/>
    <n v="2"/>
    <x v="1"/>
    <n v="59980"/>
    <n v="70"/>
    <x v="2"/>
    <n v="2999"/>
    <x v="1"/>
  </r>
  <r>
    <x v="7"/>
    <s v="Jessica"/>
    <s v="Smith"/>
    <s v="Jessica Smith"/>
    <s v="OPS06"/>
    <x v="3"/>
    <x v="7"/>
    <n v="5"/>
    <x v="0"/>
    <n v="68728"/>
    <n v="45"/>
    <x v="1"/>
    <n v="0"/>
    <x v="0"/>
  </r>
  <r>
    <x v="8"/>
    <m/>
    <s v="Rodriguez"/>
    <s v=" Rodriguez"/>
    <s v="FIN03"/>
    <x v="2"/>
    <x v="8"/>
    <n v="8"/>
    <x v="0"/>
    <n v="102139"/>
    <n v="79"/>
    <x v="2"/>
    <n v="5106.9500000000007"/>
    <x v="0"/>
  </r>
  <r>
    <x v="9"/>
    <s v="Michael"/>
    <s v="Martinez"/>
    <s v="Michael Martinez"/>
    <s v="SAL05"/>
    <x v="4"/>
    <x v="9"/>
    <n v="9"/>
    <x v="0"/>
    <n v="94998"/>
    <n v="58"/>
    <x v="0"/>
    <n v="1899.96"/>
    <x v="0"/>
  </r>
  <r>
    <x v="10"/>
    <s v="Emily"/>
    <s v="Miller"/>
    <s v="Emily Miller"/>
    <s v="SAL05"/>
    <x v="4"/>
    <x v="10"/>
    <n v="6"/>
    <x v="0"/>
    <n v="118635"/>
    <n v="49"/>
    <x v="1"/>
    <n v="0"/>
    <x v="0"/>
  </r>
  <r>
    <x v="11"/>
    <s v="Emily"/>
    <s v="Hernandez"/>
    <s v="Emily Hernandez"/>
    <s v="IT02"/>
    <x v="0"/>
    <x v="11"/>
    <n v="10"/>
    <x v="0"/>
    <n v="76918"/>
    <n v="62"/>
    <x v="0"/>
    <n v="1538.3600000000001"/>
    <x v="0"/>
  </r>
  <r>
    <x v="12"/>
    <s v="Jane"/>
    <s v="Williams"/>
    <s v="Jane Williams"/>
    <s v="MKT04"/>
    <x v="1"/>
    <x v="12"/>
    <n v="5"/>
    <x v="0"/>
    <n v="61408"/>
    <n v="48"/>
    <x v="1"/>
    <n v="0"/>
    <x v="0"/>
  </r>
  <r>
    <x v="13"/>
    <s v="Jane"/>
    <s v="Miller"/>
    <s v="Jane Miller"/>
    <s v="MKT04"/>
    <x v="1"/>
    <x v="13"/>
    <n v="6"/>
    <x v="0"/>
    <n v="99990"/>
    <n v="54"/>
    <x v="0"/>
    <n v="1999.8"/>
    <x v="0"/>
  </r>
  <r>
    <x v="14"/>
    <s v="Robert"/>
    <s v="Jones"/>
    <s v="Robert Jones"/>
    <s v="MKT04"/>
    <x v="1"/>
    <x v="14"/>
    <n v="6"/>
    <x v="0"/>
    <n v="80385"/>
    <n v="75"/>
    <x v="2"/>
    <n v="4019.25"/>
    <x v="0"/>
  </r>
  <r>
    <x v="15"/>
    <s v="Thomas"/>
    <s v="Rodriguez"/>
    <s v="Thomas Rodriguez"/>
    <s v="SAL05"/>
    <x v="4"/>
    <x v="15"/>
    <n v="2"/>
    <x v="0"/>
    <n v="65290"/>
    <n v="77"/>
    <x v="2"/>
    <n v="3264.5"/>
    <x v="0"/>
  </r>
  <r>
    <x v="16"/>
    <s v="Emily"/>
    <s v="Davis"/>
    <s v="Emily Davis"/>
    <s v="IT02"/>
    <x v="0"/>
    <x v="16"/>
    <n v="10"/>
    <x v="0"/>
    <n v="105765"/>
    <n v="42"/>
    <x v="1"/>
    <n v="0"/>
    <x v="0"/>
  </r>
  <r>
    <x v="17"/>
    <s v="James"/>
    <s v="Martinez"/>
    <s v="James Martinez"/>
    <s v="SAL05"/>
    <x v="4"/>
    <x v="17"/>
    <n v="9"/>
    <x v="0"/>
    <n v="102921"/>
    <n v="49"/>
    <x v="1"/>
    <n v="0"/>
    <x v="0"/>
  </r>
  <r>
    <x v="18"/>
    <s v="Ashley"/>
    <s v="Lopez"/>
    <s v="Ashley Lopez"/>
    <s v="MKT04"/>
    <x v="1"/>
    <x v="18"/>
    <n v="8"/>
    <x v="0"/>
    <n v="73984"/>
    <n v="93"/>
    <x v="3"/>
    <n v="5918.72"/>
    <x v="0"/>
  </r>
  <r>
    <x v="19"/>
    <s v="Amanda"/>
    <s v="Gonzalez"/>
    <s v="Amanda Gonzalez"/>
    <s v="IT02"/>
    <x v="0"/>
    <x v="19"/>
    <n v="9"/>
    <x v="0"/>
    <n v="80015"/>
    <n v="75"/>
    <x v="2"/>
    <n v="4000.75"/>
    <x v="0"/>
  </r>
  <r>
    <x v="20"/>
    <s v="Michael"/>
    <s v="Hernandez"/>
    <s v="Michael Hernandez"/>
    <s v="FIN03"/>
    <x v="2"/>
    <x v="20"/>
    <n v="8"/>
    <x v="0"/>
    <n v="118527"/>
    <n v="50"/>
    <x v="0"/>
    <n v="2370.54"/>
    <x v="0"/>
  </r>
  <r>
    <x v="21"/>
    <s v="Richard"/>
    <s v="Hernandez"/>
    <s v="Richard Hernandez"/>
    <s v="MKT04"/>
    <x v="1"/>
    <x v="21"/>
    <n v="5"/>
    <x v="0"/>
    <n v="107871"/>
    <n v="88"/>
    <x v="3"/>
    <n v="8629.68"/>
    <x v="0"/>
  </r>
  <r>
    <x v="22"/>
    <s v="Michael"/>
    <s v="Rodriguez"/>
    <s v="Michael Rodriguez"/>
    <s v="IT02"/>
    <x v="0"/>
    <x v="22"/>
    <n v="3"/>
    <x v="1"/>
    <n v="93956"/>
    <n v="50"/>
    <x v="0"/>
    <n v="1879.1200000000001"/>
    <x v="1"/>
  </r>
  <r>
    <x v="23"/>
    <s v="Jessica"/>
    <s v="Johnson"/>
    <s v="Jessica Johnson"/>
    <s v="FIN03"/>
    <x v="2"/>
    <x v="23"/>
    <n v="9"/>
    <x v="0"/>
    <n v="100851"/>
    <n v="64"/>
    <x v="0"/>
    <n v="2017.02"/>
    <x v="0"/>
  </r>
  <r>
    <x v="24"/>
    <s v="Ashley"/>
    <s v="Williams"/>
    <s v="Ashley Williams"/>
    <s v="SAL05"/>
    <x v="4"/>
    <x v="24"/>
    <n v="4"/>
    <x v="0"/>
    <n v="68655"/>
    <n v="32"/>
    <x v="1"/>
    <n v="0"/>
    <x v="0"/>
  </r>
  <r>
    <x v="25"/>
    <m/>
    <s v="Williams"/>
    <s v=" Williams"/>
    <s v="SAL05"/>
    <x v="4"/>
    <x v="25"/>
    <n v="2"/>
    <x v="0"/>
    <n v="81205"/>
    <n v="59"/>
    <x v="0"/>
    <n v="1624.1000000000001"/>
    <x v="0"/>
  </r>
  <r>
    <x v="26"/>
    <s v="John"/>
    <s v="Wilson"/>
    <s v="John Wilson"/>
    <s v="SAL05"/>
    <x v="4"/>
    <x v="26"/>
    <n v="6"/>
    <x v="0"/>
    <n v="77610"/>
    <n v="88"/>
    <x v="3"/>
    <n v="6208.8"/>
    <x v="0"/>
  </r>
  <r>
    <x v="27"/>
    <s v="Thomas"/>
    <s v="Rodriguez"/>
    <s v="Thomas Rodriguez"/>
    <s v="IT02"/>
    <x v="0"/>
    <x v="27"/>
    <n v="3"/>
    <x v="0"/>
    <n v="50873"/>
    <n v="90"/>
    <x v="3"/>
    <n v="4069.84"/>
    <x v="0"/>
  </r>
  <r>
    <x v="28"/>
    <s v="Michael"/>
    <s v="Wilson"/>
    <s v="Michael Wilson"/>
    <s v="FIN03"/>
    <x v="2"/>
    <x v="28"/>
    <n v="8"/>
    <x v="0"/>
    <n v="85312"/>
    <n v="66"/>
    <x v="0"/>
    <n v="1706.24"/>
    <x v="0"/>
  </r>
  <r>
    <x v="29"/>
    <s v="John"/>
    <s v="Rodriguez"/>
    <s v="John Rodriguez"/>
    <s v="SAL05"/>
    <x v="4"/>
    <x v="29"/>
    <n v="10"/>
    <x v="0"/>
    <n v="87283"/>
    <n v="68"/>
    <x v="0"/>
    <n v="1745.66"/>
    <x v="0"/>
  </r>
  <r>
    <x v="30"/>
    <s v="Thomas"/>
    <s v="Hernandez"/>
    <s v="Thomas Hernandez"/>
    <s v="OPS06"/>
    <x v="3"/>
    <x v="30"/>
    <n v="10"/>
    <x v="0"/>
    <n v="97055"/>
    <n v="80"/>
    <x v="2"/>
    <n v="4852.75"/>
    <x v="0"/>
  </r>
  <r>
    <x v="31"/>
    <s v="Michael"/>
    <s v="Johnson"/>
    <s v="Michael Johnson"/>
    <s v="IT02"/>
    <x v="0"/>
    <x v="31"/>
    <n v="2"/>
    <x v="0"/>
    <n v="66069"/>
    <n v="72"/>
    <x v="2"/>
    <n v="3303.4500000000003"/>
    <x v="0"/>
  </r>
  <r>
    <x v="32"/>
    <s v="Sarah"/>
    <s v="Brown"/>
    <s v="Sarah Brown"/>
    <s v="IT02"/>
    <x v="0"/>
    <x v="32"/>
    <n v="7"/>
    <x v="0"/>
    <n v="90157"/>
    <n v="58"/>
    <x v="0"/>
    <n v="1803.14"/>
    <x v="0"/>
  </r>
  <r>
    <x v="33"/>
    <s v="Jane"/>
    <s v="Martinez"/>
    <s v="Jane Martinez"/>
    <s v="HR01"/>
    <x v="5"/>
    <x v="33"/>
    <n v="4"/>
    <x v="0"/>
    <n v="59899"/>
    <n v="78"/>
    <x v="2"/>
    <n v="2994.9500000000003"/>
    <x v="0"/>
  </r>
  <r>
    <x v="34"/>
    <s v="Emily"/>
    <s v="Jones"/>
    <s v="Emily Jones"/>
    <s v="FIN03"/>
    <x v="2"/>
    <x v="34"/>
    <n v="9"/>
    <x v="0"/>
    <n v="113389"/>
    <n v="30"/>
    <x v="1"/>
    <n v="0"/>
    <x v="0"/>
  </r>
  <r>
    <x v="35"/>
    <m/>
    <s v="Brown"/>
    <s v=" Brown"/>
    <s v="IT02"/>
    <x v="0"/>
    <x v="35"/>
    <n v="10"/>
    <x v="0"/>
    <n v="102691"/>
    <n v="52"/>
    <x v="0"/>
    <n v="2053.8200000000002"/>
    <x v="0"/>
  </r>
  <r>
    <x v="36"/>
    <s v="John"/>
    <s v="Wilson"/>
    <s v="John Wilson"/>
    <s v="OPS06"/>
    <x v="3"/>
    <x v="36"/>
    <n v="3"/>
    <x v="0"/>
    <n v="111845"/>
    <n v="98"/>
    <x v="4"/>
    <n v="13421.4"/>
    <x v="0"/>
  </r>
  <r>
    <x v="37"/>
    <s v="Melissa"/>
    <s v="Brown"/>
    <s v="Melissa Brown"/>
    <s v="SAL05"/>
    <x v="4"/>
    <x v="37"/>
    <n v="4"/>
    <x v="0"/>
    <n v="69219"/>
    <n v="93"/>
    <x v="3"/>
    <n v="5537.52"/>
    <x v="0"/>
  </r>
  <r>
    <x v="38"/>
    <s v="Michael"/>
    <s v="Smith"/>
    <s v="Michael Smith"/>
    <s v="FIN03"/>
    <x v="2"/>
    <x v="38"/>
    <n v="6"/>
    <x v="1"/>
    <n v="87939"/>
    <n v="80"/>
    <x v="2"/>
    <n v="4396.95"/>
    <x v="1"/>
  </r>
  <r>
    <x v="39"/>
    <s v="Sarah"/>
    <s v="Miller"/>
    <s v="Sarah Miller"/>
    <s v="OPS06"/>
    <x v="3"/>
    <x v="39"/>
    <n v="8"/>
    <x v="0"/>
    <n v="57514"/>
    <n v="71"/>
    <x v="2"/>
    <n v="2875.7000000000003"/>
    <x v="0"/>
  </r>
  <r>
    <x v="40"/>
    <s v="Emily"/>
    <s v="Wilson"/>
    <s v="Emily Wilson"/>
    <s v="SAL05"/>
    <x v="4"/>
    <x v="40"/>
    <n v="8"/>
    <x v="1"/>
    <n v="86245"/>
    <n v="71"/>
    <x v="2"/>
    <n v="4312.25"/>
    <x v="1"/>
  </r>
  <r>
    <x v="41"/>
    <s v="David"/>
    <s v="Hernandez"/>
    <s v="David Hernandez"/>
    <s v="SAL05"/>
    <x v="4"/>
    <x v="41"/>
    <n v="6"/>
    <x v="0"/>
    <n v="52407"/>
    <n v="55"/>
    <x v="0"/>
    <n v="1048.1400000000001"/>
    <x v="0"/>
  </r>
  <r>
    <x v="42"/>
    <s v="James"/>
    <s v="Smith"/>
    <s v="James Smith"/>
    <s v="OPS06"/>
    <x v="3"/>
    <x v="42"/>
    <n v="7"/>
    <x v="1"/>
    <n v="66606"/>
    <n v="93"/>
    <x v="3"/>
    <n v="5328.4800000000005"/>
    <x v="1"/>
  </r>
  <r>
    <x v="43"/>
    <s v="Sarah"/>
    <s v="Williams"/>
    <s v="Sarah Williams"/>
    <s v="IT02"/>
    <x v="0"/>
    <x v="43"/>
    <n v="6"/>
    <x v="1"/>
    <n v="81896"/>
    <n v="79"/>
    <x v="2"/>
    <n v="4094.8"/>
    <x v="1"/>
  </r>
  <r>
    <x v="44"/>
    <s v="Amanda"/>
    <s v="Lopez"/>
    <s v="Amanda Lopez"/>
    <s v="SAL05"/>
    <x v="4"/>
    <x v="23"/>
    <n v="9"/>
    <x v="0"/>
    <n v="78402"/>
    <n v="54"/>
    <x v="0"/>
    <n v="1568.04"/>
    <x v="0"/>
  </r>
  <r>
    <x v="45"/>
    <s v="Thomas"/>
    <s v="Lopez"/>
    <s v="Thomas Lopez"/>
    <s v="OPS06"/>
    <x v="3"/>
    <x v="44"/>
    <n v="9"/>
    <x v="0"/>
    <n v="105498"/>
    <n v="76"/>
    <x v="2"/>
    <n v="5274.9000000000005"/>
    <x v="0"/>
  </r>
  <r>
    <x v="46"/>
    <s v="Melissa"/>
    <s v="Johnson"/>
    <s v="Melissa Johnson"/>
    <s v="MKT04"/>
    <x v="1"/>
    <x v="45"/>
    <n v="6"/>
    <x v="1"/>
    <n v="91749"/>
    <n v="72"/>
    <x v="2"/>
    <n v="4587.45"/>
    <x v="1"/>
  </r>
  <r>
    <x v="47"/>
    <s v="Amanda"/>
    <s v="Johnson"/>
    <s v="Amanda Johnson"/>
    <s v="OPS06"/>
    <x v="3"/>
    <x v="46"/>
    <n v="4"/>
    <x v="1"/>
    <n v="99935"/>
    <n v="84"/>
    <x v="2"/>
    <n v="4996.75"/>
    <x v="1"/>
  </r>
  <r>
    <x v="48"/>
    <s v="John"/>
    <s v="Davis"/>
    <s v="John Davis"/>
    <s v="IT02"/>
    <x v="0"/>
    <x v="47"/>
    <n v="9"/>
    <x v="1"/>
    <n v="83531"/>
    <n v="30"/>
    <x v="1"/>
    <n v="0"/>
    <x v="1"/>
  </r>
  <r>
    <x v="49"/>
    <s v="James"/>
    <s v="Johnson"/>
    <s v="James Johnson"/>
    <s v="MKT04"/>
    <x v="1"/>
    <x v="48"/>
    <n v="6"/>
    <x v="0"/>
    <n v="75023"/>
    <n v="75"/>
    <x v="2"/>
    <n v="3751.15"/>
    <x v="0"/>
  </r>
  <r>
    <x v="50"/>
    <s v="Jane"/>
    <s v="Davis"/>
    <s v="Jane Davis"/>
    <s v="HR01"/>
    <x v="5"/>
    <x v="49"/>
    <n v="4"/>
    <x v="0"/>
    <n v="93290"/>
    <n v="53"/>
    <x v="0"/>
    <n v="1865.8"/>
    <x v="0"/>
  </r>
  <r>
    <x v="51"/>
    <s v="Richard"/>
    <s v="Davis"/>
    <s v="Richard Davis"/>
    <s v="OPS06"/>
    <x v="3"/>
    <x v="50"/>
    <n v="9"/>
    <x v="1"/>
    <n v="115527"/>
    <n v="63"/>
    <x v="0"/>
    <n v="2310.54"/>
    <x v="1"/>
  </r>
  <r>
    <x v="52"/>
    <s v="Thomas"/>
    <s v="Rodriguez"/>
    <s v="Thomas Rodriguez"/>
    <s v="FIN03"/>
    <x v="2"/>
    <x v="51"/>
    <n v="6"/>
    <x v="0"/>
    <n v="55920"/>
    <n v="84"/>
    <x v="2"/>
    <n v="2796"/>
    <x v="0"/>
  </r>
  <r>
    <x v="53"/>
    <s v="Emily"/>
    <s v="Johnson"/>
    <s v="Emily Johnson"/>
    <s v="SAL05"/>
    <x v="4"/>
    <x v="52"/>
    <n v="7"/>
    <x v="0"/>
    <n v="80189"/>
    <n v="30"/>
    <x v="1"/>
    <n v="0"/>
    <x v="0"/>
  </r>
  <r>
    <x v="54"/>
    <s v="Emily"/>
    <s v="Garcia"/>
    <s v="Emily Garcia"/>
    <s v="HR01"/>
    <x v="5"/>
    <x v="53"/>
    <n v="5"/>
    <x v="0"/>
    <n v="118947"/>
    <n v="96"/>
    <x v="4"/>
    <n v="14273.64"/>
    <x v="0"/>
  </r>
  <r>
    <x v="55"/>
    <s v="Jane"/>
    <s v="Anderson"/>
    <s v="Jane Anderson"/>
    <s v="IT02"/>
    <x v="0"/>
    <x v="54"/>
    <n v="3"/>
    <x v="0"/>
    <n v="80015"/>
    <n v="54"/>
    <x v="0"/>
    <n v="1600.3"/>
    <x v="0"/>
  </r>
  <r>
    <x v="56"/>
    <s v="Thomas"/>
    <s v="Garcia"/>
    <s v="Thomas Garcia"/>
    <s v="OPS06"/>
    <x v="3"/>
    <x v="55"/>
    <n v="5"/>
    <x v="0"/>
    <n v="79787"/>
    <n v="75"/>
    <x v="2"/>
    <n v="3989.3500000000004"/>
    <x v="0"/>
  </r>
  <r>
    <x v="57"/>
    <s v="David"/>
    <s v="Martinez"/>
    <s v="David Martinez"/>
    <s v="HR01"/>
    <x v="5"/>
    <x v="56"/>
    <n v="8"/>
    <x v="0"/>
    <n v="91655"/>
    <n v="95"/>
    <x v="4"/>
    <n v="10998.6"/>
    <x v="0"/>
  </r>
  <r>
    <x v="58"/>
    <s v="Emily"/>
    <s v="Brown"/>
    <s v="Emily Brown"/>
    <s v="IT02"/>
    <x v="0"/>
    <x v="57"/>
    <n v="2"/>
    <x v="1"/>
    <n v="49435"/>
    <n v="66"/>
    <x v="0"/>
    <n v="988.7"/>
    <x v="1"/>
  </r>
  <r>
    <x v="59"/>
    <s v="Emily"/>
    <s v="Wilson"/>
    <s v="Emily Wilson"/>
    <s v="SAL05"/>
    <x v="4"/>
    <x v="58"/>
    <n v="2"/>
    <x v="0"/>
    <n v="110381"/>
    <n v="93"/>
    <x v="3"/>
    <n v="8830.48"/>
    <x v="0"/>
  </r>
  <r>
    <x v="60"/>
    <s v="Michael"/>
    <s v="Anderson"/>
    <s v="Michael Anderson"/>
    <s v="HR01"/>
    <x v="5"/>
    <x v="59"/>
    <n v="5"/>
    <x v="0"/>
    <n v="114748"/>
    <n v="33"/>
    <x v="1"/>
    <n v="0"/>
    <x v="0"/>
  </r>
  <r>
    <x v="61"/>
    <s v="Robert"/>
    <s v="Johnson"/>
    <s v="Robert Johnson"/>
    <s v="OPS06"/>
    <x v="3"/>
    <x v="60"/>
    <n v="9"/>
    <x v="0"/>
    <n v="63302"/>
    <n v="91"/>
    <x v="3"/>
    <n v="5064.16"/>
    <x v="0"/>
  </r>
  <r>
    <x v="62"/>
    <s v="Robert"/>
    <s v="Miller"/>
    <s v="Robert Miller"/>
    <s v="IT02"/>
    <x v="0"/>
    <x v="61"/>
    <n v="11"/>
    <x v="0"/>
    <n v="75519"/>
    <n v="64"/>
    <x v="0"/>
    <n v="1510.38"/>
    <x v="0"/>
  </r>
  <r>
    <x v="63"/>
    <s v="Jane"/>
    <s v="Davis"/>
    <s v="Jane Davis"/>
    <s v="FIN03"/>
    <x v="2"/>
    <x v="62"/>
    <n v="9"/>
    <x v="0"/>
    <n v="103891"/>
    <n v="80"/>
    <x v="2"/>
    <n v="5194.55"/>
    <x v="0"/>
  </r>
  <r>
    <x v="64"/>
    <s v="Thomas"/>
    <s v="Davis"/>
    <s v="Thomas Davis"/>
    <s v="OPS06"/>
    <x v="3"/>
    <x v="63"/>
    <n v="3"/>
    <x v="1"/>
    <n v="79787"/>
    <n v="46"/>
    <x v="1"/>
    <n v="0"/>
    <x v="1"/>
  </r>
  <r>
    <x v="65"/>
    <s v="Thomas"/>
    <s v="Jones"/>
    <s v="Thomas Jones"/>
    <s v="MKT04"/>
    <x v="1"/>
    <x v="64"/>
    <n v="9"/>
    <x v="0"/>
    <n v="50936"/>
    <n v="99"/>
    <x v="4"/>
    <n v="6112.32"/>
    <x v="0"/>
  </r>
  <r>
    <x v="66"/>
    <s v="Michael"/>
    <s v="Miller"/>
    <s v="Michael Miller"/>
    <s v="SAL05"/>
    <x v="4"/>
    <x v="65"/>
    <n v="9"/>
    <x v="0"/>
    <n v="111240"/>
    <n v="64"/>
    <x v="0"/>
    <n v="2224.8000000000002"/>
    <x v="0"/>
  </r>
  <r>
    <x v="67"/>
    <s v="Richard"/>
    <s v="Gonzalez"/>
    <s v="Richard Gonzalez"/>
    <s v="HR01"/>
    <x v="5"/>
    <x v="66"/>
    <n v="7"/>
    <x v="1"/>
    <n v="51567"/>
    <n v="87"/>
    <x v="3"/>
    <n v="4125.3599999999997"/>
    <x v="1"/>
  </r>
  <r>
    <x v="68"/>
    <s v="Melissa"/>
    <s v="Williams"/>
    <s v="Melissa Williams"/>
    <s v="HR01"/>
    <x v="5"/>
    <x v="67"/>
    <n v="4"/>
    <x v="0"/>
    <n v="85650"/>
    <n v="36"/>
    <x v="1"/>
    <n v="0"/>
    <x v="0"/>
  </r>
  <r>
    <x v="69"/>
    <s v="Robert"/>
    <s v="Miller"/>
    <s v="Robert Miller"/>
    <s v="HR01"/>
    <x v="5"/>
    <x v="68"/>
    <n v="8"/>
    <x v="0"/>
    <n v="55270"/>
    <n v="87"/>
    <x v="3"/>
    <n v="4421.6000000000004"/>
    <x v="0"/>
  </r>
  <r>
    <x v="70"/>
    <s v="William"/>
    <s v="Garcia"/>
    <s v="William Garcia"/>
    <s v="SAL05"/>
    <x v="4"/>
    <x v="69"/>
    <n v="10"/>
    <x v="0"/>
    <n v="65235"/>
    <n v="97"/>
    <x v="4"/>
    <n v="7828.2"/>
    <x v="0"/>
  </r>
  <r>
    <x v="71"/>
    <s v="John"/>
    <s v="Gonzalez"/>
    <s v="John Gonzalez"/>
    <s v="SAL05"/>
    <x v="4"/>
    <x v="70"/>
    <n v="8"/>
    <x v="1"/>
    <n v="87283"/>
    <n v="72"/>
    <x v="2"/>
    <n v="4364.1500000000005"/>
    <x v="1"/>
  </r>
  <r>
    <x v="72"/>
    <s v="James"/>
    <s v="Gonzalez"/>
    <s v="James Gonzalez"/>
    <s v="SAL05"/>
    <x v="4"/>
    <x v="71"/>
    <n v="3"/>
    <x v="1"/>
    <n v="87283"/>
    <n v="65"/>
    <x v="0"/>
    <n v="1745.66"/>
    <x v="1"/>
  </r>
  <r>
    <x v="73"/>
    <s v="Jane"/>
    <s v="Gonzalez"/>
    <s v="Jane Gonzalez"/>
    <s v="SAL05"/>
    <x v="4"/>
    <x v="72"/>
    <n v="10"/>
    <x v="0"/>
    <n v="87283"/>
    <n v="67"/>
    <x v="0"/>
    <n v="1745.66"/>
    <x v="0"/>
  </r>
  <r>
    <x v="74"/>
    <s v="David"/>
    <s v="Wilson"/>
    <s v="David Wilson"/>
    <s v="OPS06"/>
    <x v="3"/>
    <x v="73"/>
    <n v="9"/>
    <x v="0"/>
    <n v="48823"/>
    <n v="34"/>
    <x v="1"/>
    <n v="0"/>
    <x v="0"/>
  </r>
  <r>
    <x v="75"/>
    <s v="Jane"/>
    <s v="Gonzalez"/>
    <s v="Jane Gonzalez"/>
    <s v="FIN03"/>
    <x v="2"/>
    <x v="74"/>
    <n v="7"/>
    <x v="1"/>
    <n v="45196"/>
    <n v="78"/>
    <x v="2"/>
    <n v="2259.8000000000002"/>
    <x v="1"/>
  </r>
  <r>
    <x v="76"/>
    <s v="Jane"/>
    <s v="Rodriguez"/>
    <s v="Jane Rodriguez"/>
    <s v="IT02"/>
    <x v="0"/>
    <x v="75"/>
    <n v="9"/>
    <x v="0"/>
    <n v="86246"/>
    <n v="61"/>
    <x v="0"/>
    <n v="1724.92"/>
    <x v="0"/>
  </r>
  <r>
    <x v="77"/>
    <s v="Emily"/>
    <s v="Miller"/>
    <s v="Emily Miller"/>
    <s v="SAL05"/>
    <x v="4"/>
    <x v="76"/>
    <n v="4"/>
    <x v="1"/>
    <n v="70359"/>
    <n v="74"/>
    <x v="2"/>
    <n v="3517.9500000000003"/>
    <x v="1"/>
  </r>
  <r>
    <x v="78"/>
    <s v="Sarah"/>
    <s v="Miller"/>
    <s v="Sarah Miller"/>
    <s v="MKT04"/>
    <x v="1"/>
    <x v="77"/>
    <n v="7"/>
    <x v="0"/>
    <n v="85509"/>
    <n v="94"/>
    <x v="3"/>
    <n v="6840.72"/>
    <x v="0"/>
  </r>
  <r>
    <x v="79"/>
    <s v="Jessica"/>
    <s v="Garcia"/>
    <s v="Jessica Garcia"/>
    <s v="OPS06"/>
    <x v="3"/>
    <x v="78"/>
    <n v="10"/>
    <x v="0"/>
    <n v="86480"/>
    <n v="71"/>
    <x v="2"/>
    <n v="4324"/>
    <x v="0"/>
  </r>
  <r>
    <x v="80"/>
    <s v="Richard"/>
    <s v="Smith"/>
    <s v="Richard Smith"/>
    <s v="HR01"/>
    <x v="5"/>
    <x v="79"/>
    <n v="7"/>
    <x v="0"/>
    <n v="47694"/>
    <n v="75"/>
    <x v="2"/>
    <n v="2384.7000000000003"/>
    <x v="0"/>
  </r>
  <r>
    <x v="81"/>
    <s v="Melissa"/>
    <s v="Wilson"/>
    <s v="Melissa Wilson"/>
    <s v="IT02"/>
    <x v="0"/>
    <x v="80"/>
    <n v="2"/>
    <x v="1"/>
    <n v="83724"/>
    <n v="81"/>
    <x v="2"/>
    <n v="4186.2"/>
    <x v="1"/>
  </r>
  <r>
    <x v="82"/>
    <s v="Thomas"/>
    <s v="Williams"/>
    <s v="Thomas Williams"/>
    <s v="FIN03"/>
    <x v="2"/>
    <x v="81"/>
    <n v="3"/>
    <x v="0"/>
    <n v="98299"/>
    <n v="61"/>
    <x v="0"/>
    <n v="1965.98"/>
    <x v="0"/>
  </r>
  <r>
    <x v="83"/>
    <s v="David"/>
    <s v="Williams"/>
    <s v="David Williams"/>
    <s v="FIN03"/>
    <x v="2"/>
    <x v="82"/>
    <n v="5"/>
    <x v="0"/>
    <n v="87939"/>
    <n v="68"/>
    <x v="0"/>
    <n v="1758.78"/>
    <x v="0"/>
  </r>
  <r>
    <x v="84"/>
    <s v="John"/>
    <s v="Johnson"/>
    <s v="John Johnson"/>
    <s v="IT02"/>
    <x v="0"/>
    <x v="83"/>
    <n v="2"/>
    <x v="0"/>
    <n v="52287"/>
    <n v="70"/>
    <x v="2"/>
    <n v="2614.3500000000004"/>
    <x v="0"/>
  </r>
  <r>
    <x v="85"/>
    <s v="Richard"/>
    <s v="Gonzalez"/>
    <s v="Richard Gonzalez"/>
    <s v="IT02"/>
    <x v="0"/>
    <x v="84"/>
    <n v="5"/>
    <x v="0"/>
    <n v="82633"/>
    <n v="98"/>
    <x v="4"/>
    <n v="9915.9599999999991"/>
    <x v="0"/>
  </r>
  <r>
    <x v="86"/>
    <s v="Melissa"/>
    <s v="Anderson"/>
    <s v="Melissa Anderson"/>
    <s v="OPS06"/>
    <x v="3"/>
    <x v="85"/>
    <n v="4"/>
    <x v="0"/>
    <n v="46508"/>
    <n v="34"/>
    <x v="1"/>
    <n v="0"/>
    <x v="0"/>
  </r>
  <r>
    <x v="87"/>
    <s v="Emily"/>
    <s v="Gonzalez"/>
    <s v="Emily Gonzalez"/>
    <s v="HR01"/>
    <x v="5"/>
    <x v="86"/>
    <n v="6"/>
    <x v="0"/>
    <n v="86232"/>
    <n v="93"/>
    <x v="3"/>
    <n v="6898.56"/>
    <x v="0"/>
  </r>
  <r>
    <x v="88"/>
    <s v="Jane"/>
    <s v="Davis"/>
    <s v="Jane Davis"/>
    <s v="IT02"/>
    <x v="0"/>
    <x v="87"/>
    <n v="9"/>
    <x v="0"/>
    <n v="77545"/>
    <n v="48"/>
    <x v="1"/>
    <n v="0"/>
    <x v="0"/>
  </r>
  <r>
    <x v="89"/>
    <s v="William"/>
    <s v="Gonzalez"/>
    <s v="William Gonzalez"/>
    <s v="OPS06"/>
    <x v="3"/>
    <x v="88"/>
    <n v="7"/>
    <x v="0"/>
    <n v="68683"/>
    <n v="90"/>
    <x v="3"/>
    <n v="5494.64"/>
    <x v="0"/>
  </r>
  <r>
    <x v="90"/>
    <s v="Thomas"/>
    <s v="Jones"/>
    <s v="Thomas Jones"/>
    <s v="FIN03"/>
    <x v="2"/>
    <x v="89"/>
    <n v="7"/>
    <x v="1"/>
    <n v="83932"/>
    <n v="57"/>
    <x v="0"/>
    <n v="1678.64"/>
    <x v="1"/>
  </r>
  <r>
    <x v="91"/>
    <s v="Jessica"/>
    <s v="Anderson"/>
    <s v="Jessica Anderson"/>
    <s v="HR01"/>
    <x v="5"/>
    <x v="90"/>
    <n v="10"/>
    <x v="0"/>
    <n v="56073"/>
    <n v="79"/>
    <x v="2"/>
    <n v="2803.65"/>
    <x v="0"/>
  </r>
  <r>
    <x v="92"/>
    <s v="Melissa"/>
    <s v="Johnson"/>
    <s v="Melissa Johnson"/>
    <s v="IT02"/>
    <x v="0"/>
    <x v="91"/>
    <n v="8"/>
    <x v="0"/>
    <n v="88056"/>
    <n v="66"/>
    <x v="0"/>
    <n v="1761.1200000000001"/>
    <x v="0"/>
  </r>
  <r>
    <x v="93"/>
    <s v="Thomas"/>
    <s v="Miller"/>
    <s v="Thomas Miller"/>
    <s v="OPS06"/>
    <x v="3"/>
    <x v="92"/>
    <n v="8"/>
    <x v="1"/>
    <n v="67414"/>
    <n v="84"/>
    <x v="2"/>
    <n v="3370.7000000000003"/>
    <x v="1"/>
  </r>
  <r>
    <x v="94"/>
    <s v="William"/>
    <s v="Gonzalez"/>
    <s v="William Gonzalez"/>
    <s v="SAL05"/>
    <x v="4"/>
    <x v="93"/>
    <n v="11"/>
    <x v="0"/>
    <n v="115288"/>
    <n v="61"/>
    <x v="0"/>
    <n v="2305.7600000000002"/>
    <x v="0"/>
  </r>
  <r>
    <x v="95"/>
    <m/>
    <s v="Smith"/>
    <s v=" Smith"/>
    <s v="SAL05"/>
    <x v="4"/>
    <x v="94"/>
    <n v="7"/>
    <x v="0"/>
    <n v="80140"/>
    <n v="58"/>
    <x v="0"/>
    <n v="1602.8"/>
    <x v="0"/>
  </r>
  <r>
    <x v="96"/>
    <s v="John"/>
    <s v="Johnson"/>
    <s v="John Johnson"/>
    <s v="IT02"/>
    <x v="0"/>
    <x v="95"/>
    <n v="4"/>
    <x v="0"/>
    <n v="73087"/>
    <n v="69"/>
    <x v="0"/>
    <n v="1461.74"/>
    <x v="0"/>
  </r>
  <r>
    <x v="97"/>
    <s v="Jane"/>
    <s v="Johnson"/>
    <s v="Jane Johnson"/>
    <s v="SAL05"/>
    <x v="4"/>
    <x v="96"/>
    <n v="5"/>
    <x v="0"/>
    <n v="95292"/>
    <n v="34"/>
    <x v="1"/>
    <n v="0"/>
    <x v="0"/>
  </r>
  <r>
    <x v="98"/>
    <s v="John"/>
    <s v="Jones"/>
    <s v="John Jones"/>
    <s v="IT02"/>
    <x v="0"/>
    <x v="97"/>
    <n v="7"/>
    <x v="0"/>
    <n v="80015"/>
    <n v="33"/>
    <x v="1"/>
    <n v="0"/>
    <x v="0"/>
  </r>
  <r>
    <x v="99"/>
    <s v="Jane"/>
    <s v="Lopez"/>
    <s v="Jane Lopez"/>
    <s v="MKT04"/>
    <x v="1"/>
    <x v="98"/>
    <n v="11"/>
    <x v="1"/>
    <n v="101750"/>
    <n v="84"/>
    <x v="2"/>
    <n v="5087.5"/>
    <x v="1"/>
  </r>
  <r>
    <x v="100"/>
    <s v="Melissa"/>
    <s v="Gonzalez"/>
    <s v="Melissa Gonzalez"/>
    <s v="MKT04"/>
    <x v="1"/>
    <x v="75"/>
    <n v="9"/>
    <x v="0"/>
    <n v="82992"/>
    <n v="79"/>
    <x v="2"/>
    <n v="4149.6000000000004"/>
    <x v="0"/>
  </r>
  <r>
    <x v="101"/>
    <s v="William"/>
    <s v="Davis"/>
    <s v="William Davis"/>
    <s v="IT02"/>
    <x v="0"/>
    <x v="99"/>
    <n v="3"/>
    <x v="0"/>
    <n v="49942"/>
    <n v="51"/>
    <x v="0"/>
    <n v="998.84"/>
    <x v="0"/>
  </r>
  <r>
    <x v="102"/>
    <s v="John"/>
    <s v="Smith"/>
    <s v="John Smith"/>
    <s v="OPS06"/>
    <x v="3"/>
    <x v="100"/>
    <n v="8"/>
    <x v="0"/>
    <n v="89060"/>
    <n v="58"/>
    <x v="0"/>
    <n v="1781.2"/>
    <x v="0"/>
  </r>
  <r>
    <x v="103"/>
    <s v="James"/>
    <s v="Gonzalez"/>
    <s v="James Gonzalez"/>
    <s v="IT02"/>
    <x v="0"/>
    <x v="101"/>
    <n v="6"/>
    <x v="0"/>
    <n v="53786"/>
    <n v="98"/>
    <x v="4"/>
    <n v="6454.32"/>
    <x v="0"/>
  </r>
  <r>
    <x v="104"/>
    <s v="Emily"/>
    <s v="Johnson"/>
    <s v="Emily Johnson"/>
    <s v="OPS06"/>
    <x v="3"/>
    <x v="102"/>
    <n v="10"/>
    <x v="0"/>
    <n v="81167"/>
    <n v="71"/>
    <x v="2"/>
    <n v="4058.3500000000004"/>
    <x v="0"/>
  </r>
  <r>
    <x v="105"/>
    <s v="William"/>
    <s v="Williams"/>
    <s v="William Williams"/>
    <s v="MKT04"/>
    <x v="1"/>
    <x v="103"/>
    <n v="5"/>
    <x v="1"/>
    <n v="66688"/>
    <n v="40"/>
    <x v="1"/>
    <n v="0"/>
    <x v="1"/>
  </r>
  <r>
    <x v="106"/>
    <s v="James"/>
    <s v="Jones"/>
    <s v="James Jones"/>
    <s v="IT02"/>
    <x v="0"/>
    <x v="104"/>
    <n v="4"/>
    <x v="0"/>
    <n v="91672"/>
    <n v="88"/>
    <x v="3"/>
    <n v="7333.76"/>
    <x v="0"/>
  </r>
  <r>
    <x v="107"/>
    <s v="Jessica"/>
    <s v="Gonzalez"/>
    <s v="Jessica Gonzalez"/>
    <s v="HR01"/>
    <x v="5"/>
    <x v="105"/>
    <n v="9"/>
    <x v="0"/>
    <n v="77737"/>
    <n v="77"/>
    <x v="2"/>
    <n v="3886.8500000000004"/>
    <x v="0"/>
  </r>
  <r>
    <x v="108"/>
    <s v="Sarah"/>
    <s v="Miller"/>
    <s v="Sarah Miller"/>
    <s v="SAL05"/>
    <x v="4"/>
    <x v="106"/>
    <n v="7"/>
    <x v="0"/>
    <n v="95686"/>
    <n v="91"/>
    <x v="3"/>
    <n v="7654.88"/>
    <x v="0"/>
  </r>
  <r>
    <x v="109"/>
    <s v="Jessica"/>
    <s v="Smith"/>
    <s v="Jessica Smith"/>
    <s v="SAL05"/>
    <x v="4"/>
    <x v="107"/>
    <n v="9"/>
    <x v="0"/>
    <n v="114681"/>
    <n v="36"/>
    <x v="1"/>
    <n v="0"/>
    <x v="0"/>
  </r>
  <r>
    <x v="110"/>
    <s v="Thomas"/>
    <s v="Jones"/>
    <s v="Thomas Jones"/>
    <s v="OPS06"/>
    <x v="3"/>
    <x v="108"/>
    <n v="4"/>
    <x v="0"/>
    <n v="109121"/>
    <n v="72"/>
    <x v="2"/>
    <n v="5456.05"/>
    <x v="0"/>
  </r>
  <r>
    <x v="111"/>
    <s v="Amanda"/>
    <s v="Brown"/>
    <s v="Amanda Brown"/>
    <s v="MKT04"/>
    <x v="1"/>
    <x v="109"/>
    <n v="6"/>
    <x v="0"/>
    <n v="112791"/>
    <n v="87"/>
    <x v="3"/>
    <n v="9023.2800000000007"/>
    <x v="0"/>
  </r>
  <r>
    <x v="112"/>
    <s v="Robert"/>
    <s v="Martinez"/>
    <s v="Robert Martinez"/>
    <s v="IT02"/>
    <x v="0"/>
    <x v="110"/>
    <n v="4"/>
    <x v="0"/>
    <n v="118008"/>
    <n v="71"/>
    <x v="2"/>
    <n v="5900.4000000000005"/>
    <x v="0"/>
  </r>
  <r>
    <x v="113"/>
    <s v="Thomas"/>
    <s v="Miller"/>
    <s v="Thomas Miller"/>
    <s v="IT02"/>
    <x v="0"/>
    <x v="111"/>
    <n v="9"/>
    <x v="0"/>
    <n v="74370"/>
    <n v="82"/>
    <x v="2"/>
    <n v="3718.5"/>
    <x v="0"/>
  </r>
  <r>
    <x v="114"/>
    <s v="David"/>
    <s v="Rodriguez"/>
    <s v="David Rodriguez"/>
    <s v="IT02"/>
    <x v="0"/>
    <x v="112"/>
    <n v="4"/>
    <x v="0"/>
    <n v="77819"/>
    <n v="79"/>
    <x v="2"/>
    <n v="3890.9500000000003"/>
    <x v="0"/>
  </r>
  <r>
    <x v="115"/>
    <s v="Jane"/>
    <s v="Miller"/>
    <s v="Jane Miller"/>
    <s v="MKT04"/>
    <x v="1"/>
    <x v="113"/>
    <n v="9"/>
    <x v="0"/>
    <n v="48748"/>
    <n v="83"/>
    <x v="2"/>
    <n v="2437.4"/>
    <x v="0"/>
  </r>
  <r>
    <x v="116"/>
    <s v="James"/>
    <s v="Rodriguez"/>
    <s v="James Rodriguez"/>
    <s v="OPS06"/>
    <x v="3"/>
    <x v="114"/>
    <n v="6"/>
    <x v="1"/>
    <n v="101997"/>
    <n v="38"/>
    <x v="1"/>
    <n v="0"/>
    <x v="1"/>
  </r>
  <r>
    <x v="117"/>
    <s v="Sarah"/>
    <s v="Rodriguez"/>
    <s v="Sarah Rodriguez"/>
    <s v="HR01"/>
    <x v="5"/>
    <x v="115"/>
    <n v="3"/>
    <x v="0"/>
    <n v="115260"/>
    <n v="77"/>
    <x v="2"/>
    <n v="5763"/>
    <x v="0"/>
  </r>
  <r>
    <x v="118"/>
    <s v="Sarah"/>
    <s v="Wilson"/>
    <s v="Sarah Wilson"/>
    <s v="SAL05"/>
    <x v="4"/>
    <x v="116"/>
    <n v="4"/>
    <x v="0"/>
    <n v="87283"/>
    <n v="49"/>
    <x v="1"/>
    <n v="0"/>
    <x v="0"/>
  </r>
  <r>
    <x v="119"/>
    <s v="Melissa"/>
    <s v="Brown"/>
    <s v="Melissa Brown"/>
    <s v="IT02"/>
    <x v="0"/>
    <x v="117"/>
    <n v="4"/>
    <x v="1"/>
    <n v="80015"/>
    <n v="69"/>
    <x v="0"/>
    <n v="1600.3"/>
    <x v="1"/>
  </r>
  <r>
    <x v="120"/>
    <s v="Robert"/>
    <s v="Williams"/>
    <s v="Robert Williams"/>
    <s v="SAL05"/>
    <x v="4"/>
    <x v="118"/>
    <n v="8"/>
    <x v="0"/>
    <n v="87283"/>
    <n v="76"/>
    <x v="2"/>
    <n v="4364.1500000000005"/>
    <x v="0"/>
  </r>
  <r>
    <x v="121"/>
    <s v="Melissa"/>
    <s v="Rodriguez"/>
    <s v="Melissa Rodriguez"/>
    <s v="OPS06"/>
    <x v="3"/>
    <x v="119"/>
    <n v="3"/>
    <x v="0"/>
    <n v="60623"/>
    <n v="78"/>
    <x v="2"/>
    <n v="3031.15"/>
    <x v="0"/>
  </r>
  <r>
    <x v="122"/>
    <s v="James"/>
    <s v="Johnson"/>
    <s v="James Johnson"/>
    <s v="HR01"/>
    <x v="5"/>
    <x v="120"/>
    <n v="5"/>
    <x v="0"/>
    <n v="68092"/>
    <n v="93"/>
    <x v="3"/>
    <n v="5447.36"/>
    <x v="0"/>
  </r>
  <r>
    <x v="123"/>
    <s v="Michael"/>
    <s v="Wilson"/>
    <s v="Michael Wilson"/>
    <s v="MKT04"/>
    <x v="1"/>
    <x v="121"/>
    <n v="4"/>
    <x v="0"/>
    <n v="88155"/>
    <n v="68"/>
    <x v="0"/>
    <n v="1763.1000000000001"/>
    <x v="0"/>
  </r>
  <r>
    <x v="124"/>
    <s v="William"/>
    <s v="Jones"/>
    <s v="William Jones"/>
    <s v="MKT04"/>
    <x v="1"/>
    <x v="122"/>
    <n v="8"/>
    <x v="0"/>
    <n v="107903"/>
    <n v="42"/>
    <x v="1"/>
    <n v="0"/>
    <x v="0"/>
  </r>
  <r>
    <x v="125"/>
    <s v="William"/>
    <s v="Williams"/>
    <s v="William Williams"/>
    <s v="IT02"/>
    <x v="0"/>
    <x v="123"/>
    <n v="7"/>
    <x v="0"/>
    <n v="62818"/>
    <n v="34"/>
    <x v="1"/>
    <n v="0"/>
    <x v="0"/>
  </r>
  <r>
    <x v="126"/>
    <s v="David"/>
    <s v="Williams"/>
    <s v="David Williams"/>
    <s v="HR01"/>
    <x v="5"/>
    <x v="124"/>
    <n v="7"/>
    <x v="0"/>
    <n v="85151"/>
    <n v="35"/>
    <x v="1"/>
    <n v="0"/>
    <x v="0"/>
  </r>
  <r>
    <x v="127"/>
    <s v="Jane"/>
    <s v="Davis"/>
    <s v="Jane Davis"/>
    <s v="FIN03"/>
    <x v="2"/>
    <x v="125"/>
    <n v="10"/>
    <x v="0"/>
    <n v="46390"/>
    <n v="95"/>
    <x v="4"/>
    <n v="5566.8"/>
    <x v="0"/>
  </r>
  <r>
    <x v="128"/>
    <s v="John"/>
    <s v="Martinez"/>
    <s v="John Martinez"/>
    <s v="HR01"/>
    <x v="5"/>
    <x v="126"/>
    <n v="4"/>
    <x v="1"/>
    <n v="111920"/>
    <n v="90"/>
    <x v="3"/>
    <n v="8953.6"/>
    <x v="1"/>
  </r>
  <r>
    <x v="129"/>
    <s v="David"/>
    <s v="Anderson"/>
    <s v="David Anderson"/>
    <s v="HR01"/>
    <x v="5"/>
    <x v="127"/>
    <n v="8"/>
    <x v="0"/>
    <n v="115618"/>
    <n v="42"/>
    <x v="1"/>
    <n v="0"/>
    <x v="0"/>
  </r>
  <r>
    <x v="130"/>
    <s v="Sarah"/>
    <s v="Smith"/>
    <s v="Sarah Smith"/>
    <s v="SAL05"/>
    <x v="4"/>
    <x v="128"/>
    <n v="3"/>
    <x v="1"/>
    <n v="110618"/>
    <n v="88"/>
    <x v="3"/>
    <n v="8849.44"/>
    <x v="1"/>
  </r>
  <r>
    <x v="131"/>
    <s v="Melissa"/>
    <s v="Hernandez"/>
    <s v="Melissa Hernandez"/>
    <s v="OPS06"/>
    <x v="3"/>
    <x v="129"/>
    <n v="4"/>
    <x v="1"/>
    <n v="108395"/>
    <n v="78"/>
    <x v="2"/>
    <n v="5419.75"/>
    <x v="1"/>
  </r>
  <r>
    <x v="132"/>
    <s v="Melissa"/>
    <s v="Johnson"/>
    <s v="Melissa Johnson"/>
    <s v="FIN03"/>
    <x v="2"/>
    <x v="130"/>
    <n v="8"/>
    <x v="0"/>
    <n v="88005"/>
    <n v="69"/>
    <x v="0"/>
    <n v="1760.1000000000001"/>
    <x v="0"/>
  </r>
  <r>
    <x v="133"/>
    <s v="Jane"/>
    <s v="Garcia"/>
    <s v="Jane Garcia"/>
    <s v="MKT04"/>
    <x v="1"/>
    <x v="46"/>
    <n v="4"/>
    <x v="0"/>
    <n v="83007"/>
    <n v="82"/>
    <x v="2"/>
    <n v="4150.3500000000004"/>
    <x v="0"/>
  </r>
  <r>
    <x v="134"/>
    <s v="David"/>
    <s v="Davis"/>
    <s v="David Davis"/>
    <s v="IT02"/>
    <x v="0"/>
    <x v="131"/>
    <n v="7"/>
    <x v="0"/>
    <n v="61547"/>
    <n v="68"/>
    <x v="0"/>
    <n v="1230.94"/>
    <x v="0"/>
  </r>
  <r>
    <x v="135"/>
    <s v="James"/>
    <s v="Wilson"/>
    <s v="James Wilson"/>
    <s v="SAL05"/>
    <x v="4"/>
    <x v="132"/>
    <n v="5"/>
    <x v="0"/>
    <n v="87283"/>
    <n v="52"/>
    <x v="0"/>
    <n v="1745.66"/>
    <x v="0"/>
  </r>
  <r>
    <x v="136"/>
    <s v="Richard"/>
    <s v="Johnson"/>
    <s v="Richard Johnson"/>
    <s v="OPS06"/>
    <x v="3"/>
    <x v="133"/>
    <n v="8"/>
    <x v="1"/>
    <n v="50399"/>
    <n v="92"/>
    <x v="3"/>
    <n v="4031.92"/>
    <x v="1"/>
  </r>
  <r>
    <x v="137"/>
    <s v="Richard"/>
    <s v="Williams"/>
    <s v="Richard Williams"/>
    <s v="FIN03"/>
    <x v="2"/>
    <x v="134"/>
    <n v="10"/>
    <x v="0"/>
    <n v="87939"/>
    <n v="62"/>
    <x v="0"/>
    <n v="1758.78"/>
    <x v="0"/>
  </r>
  <r>
    <x v="138"/>
    <s v="John"/>
    <s v="Hernandez"/>
    <s v="John Hernandez"/>
    <s v="OPS06"/>
    <x v="3"/>
    <x v="135"/>
    <n v="8"/>
    <x v="0"/>
    <n v="52720"/>
    <n v="68"/>
    <x v="0"/>
    <n v="1054.4000000000001"/>
    <x v="0"/>
  </r>
  <r>
    <x v="139"/>
    <s v="Sarah"/>
    <s v="Gonzalez"/>
    <s v="Sarah Gonzalez"/>
    <s v="OPS06"/>
    <x v="3"/>
    <x v="136"/>
    <n v="8"/>
    <x v="0"/>
    <n v="65065"/>
    <n v="98"/>
    <x v="4"/>
    <n v="7807.7999999999993"/>
    <x v="0"/>
  </r>
  <r>
    <x v="140"/>
    <s v="Melissa"/>
    <s v="Hernandez"/>
    <s v="Melissa Hernandez"/>
    <s v="SAL05"/>
    <x v="4"/>
    <x v="137"/>
    <n v="11"/>
    <x v="1"/>
    <n v="87283"/>
    <n v="94"/>
    <x v="3"/>
    <n v="6982.64"/>
    <x v="1"/>
  </r>
  <r>
    <x v="141"/>
    <s v="Melissa"/>
    <s v="Hernandez"/>
    <s v="Melissa Hernandez"/>
    <s v="OPS06"/>
    <x v="3"/>
    <x v="138"/>
    <n v="7"/>
    <x v="1"/>
    <n v="108119"/>
    <n v="57"/>
    <x v="0"/>
    <n v="2162.38"/>
    <x v="1"/>
  </r>
  <r>
    <x v="142"/>
    <s v="John"/>
    <s v="Davis"/>
    <s v="John Davis"/>
    <s v="IT02"/>
    <x v="0"/>
    <x v="139"/>
    <n v="6"/>
    <x v="0"/>
    <n v="80015"/>
    <n v="96"/>
    <x v="4"/>
    <n v="9601.7999999999993"/>
    <x v="0"/>
  </r>
  <r>
    <x v="143"/>
    <s v="Richard"/>
    <s v="Davis"/>
    <s v="Richard Davis"/>
    <s v="HR01"/>
    <x v="5"/>
    <x v="140"/>
    <n v="3"/>
    <x v="1"/>
    <n v="106896"/>
    <n v="52"/>
    <x v="0"/>
    <n v="2137.92"/>
    <x v="1"/>
  </r>
  <r>
    <x v="144"/>
    <m/>
    <s v="Jones"/>
    <s v=" Jones"/>
    <s v="IT02"/>
    <x v="0"/>
    <x v="141"/>
    <n v="7"/>
    <x v="0"/>
    <n v="112887"/>
    <n v="59"/>
    <x v="0"/>
    <n v="2257.7400000000002"/>
    <x v="0"/>
  </r>
  <r>
    <x v="145"/>
    <s v="William"/>
    <s v="Rodriguez"/>
    <s v="William Rodriguez"/>
    <s v="FIN03"/>
    <x v="2"/>
    <x v="142"/>
    <n v="3"/>
    <x v="0"/>
    <n v="85457"/>
    <n v="79"/>
    <x v="2"/>
    <n v="4272.8500000000004"/>
    <x v="0"/>
  </r>
  <r>
    <x v="146"/>
    <s v="Melissa"/>
    <s v="Miller"/>
    <s v="Melissa Miller"/>
    <s v="SAL05"/>
    <x v="4"/>
    <x v="143"/>
    <n v="10"/>
    <x v="0"/>
    <n v="62798"/>
    <n v="30"/>
    <x v="1"/>
    <n v="0"/>
    <x v="0"/>
  </r>
  <r>
    <x v="147"/>
    <s v="Emily"/>
    <s v="Martinez"/>
    <s v="Emily Martinez"/>
    <s v="OPS06"/>
    <x v="3"/>
    <x v="144"/>
    <n v="4"/>
    <x v="1"/>
    <n v="47794"/>
    <n v="73"/>
    <x v="2"/>
    <n v="2389.7000000000003"/>
    <x v="1"/>
  </r>
  <r>
    <x v="148"/>
    <s v="James"/>
    <s v="Rodriguez"/>
    <s v="James Rodriguez"/>
    <s v="MKT04"/>
    <x v="1"/>
    <x v="145"/>
    <n v="9"/>
    <x v="0"/>
    <n v="93094"/>
    <n v="74"/>
    <x v="2"/>
    <n v="4654.7"/>
    <x v="0"/>
  </r>
  <r>
    <x v="149"/>
    <s v="Amanda"/>
    <s v="Brown"/>
    <s v="Amanda Brown"/>
    <s v="IT02"/>
    <x v="0"/>
    <x v="146"/>
    <n v="3"/>
    <x v="0"/>
    <n v="118634"/>
    <n v="91"/>
    <x v="3"/>
    <n v="9490.719999999999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C67581-0125-4B78-A7C2-A3AF3E8E754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4:B71" firstHeaderRow="1" firstDataRow="1" firstDataCol="1"/>
  <pivotFields count="14">
    <pivotField showAll="0"/>
    <pivotField showAll="0"/>
    <pivotField showAll="0"/>
    <pivotField showAll="0"/>
    <pivotField showAll="0"/>
    <pivotField axis="axisRow" showAll="0" sortType="ascending">
      <items count="7">
        <item x="2"/>
        <item x="5"/>
        <item x="0"/>
        <item x="1"/>
        <item x="3"/>
        <item x="4"/>
        <item t="default"/>
      </items>
      <autoSortScope>
        <pivotArea dataOnly="0" outline="0" fieldPosition="0">
          <references count="1">
            <reference field="4294967294" count="1" selected="0">
              <x v="0"/>
            </reference>
          </references>
        </pivotArea>
      </autoSortScope>
    </pivotField>
    <pivotField numFmtId="14" showAll="0"/>
    <pivotField numFmtId="1" showAll="0"/>
    <pivotField showAll="0">
      <items count="3">
        <item x="0"/>
        <item x="1"/>
        <item t="default"/>
      </items>
    </pivotField>
    <pivotField numFmtId="165" showAll="0"/>
    <pivotField dataField="1" showAll="0"/>
    <pivotField showAll="0">
      <items count="6">
        <item x="2"/>
        <item x="0"/>
        <item x="3"/>
        <item x="1"/>
        <item x="4"/>
        <item t="default"/>
      </items>
    </pivotField>
    <pivotField numFmtId="165" showAll="0"/>
    <pivotField showAll="0"/>
  </pivotFields>
  <rowFields count="1">
    <field x="5"/>
  </rowFields>
  <rowItems count="7">
    <i>
      <x/>
    </i>
    <i>
      <x v="1"/>
    </i>
    <i>
      <x v="3"/>
    </i>
    <i>
      <x v="5"/>
    </i>
    <i>
      <x v="4"/>
    </i>
    <i>
      <x v="2"/>
    </i>
    <i t="grand">
      <x/>
    </i>
  </rowItems>
  <colItems count="1">
    <i/>
  </colItems>
  <dataFields count="1">
    <dataField name="Sum of Final Perf_Score" fld="10" showDataAs="percentOfTotal" baseField="5" baseItem="0" numFmtId="9"/>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D107B6-35F0-4948-A215-C53B3E5AB31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B20" firstHeaderRow="1" firstDataRow="1" firstDataCol="1"/>
  <pivotFields count="14">
    <pivotField showAll="0"/>
    <pivotField showAll="0"/>
    <pivotField showAll="0"/>
    <pivotField showAll="0"/>
    <pivotField showAll="0"/>
    <pivotField axis="axisRow" showAll="0">
      <items count="7">
        <item x="2"/>
        <item x="5"/>
        <item x="0"/>
        <item x="1"/>
        <item x="3"/>
        <item x="4"/>
        <item t="default"/>
      </items>
    </pivotField>
    <pivotField numFmtId="14" showAll="0"/>
    <pivotField numFmtId="1" showAll="0"/>
    <pivotField showAll="0">
      <items count="3">
        <item x="0"/>
        <item x="1"/>
        <item t="default"/>
      </items>
    </pivotField>
    <pivotField numFmtId="165" showAll="0"/>
    <pivotField showAll="0"/>
    <pivotField showAll="0">
      <items count="6">
        <item x="2"/>
        <item x="0"/>
        <item x="3"/>
        <item x="1"/>
        <item x="4"/>
        <item t="default"/>
      </items>
    </pivotField>
    <pivotField numFmtId="165" showAll="0"/>
    <pivotField dataField="1" showAll="0">
      <items count="3">
        <item x="0"/>
        <item x="1"/>
        <item t="default"/>
      </items>
    </pivotField>
  </pivotFields>
  <rowFields count="1">
    <field x="5"/>
  </rowFields>
  <rowItems count="7">
    <i>
      <x/>
    </i>
    <i>
      <x v="1"/>
    </i>
    <i>
      <x v="2"/>
    </i>
    <i>
      <x v="3"/>
    </i>
    <i>
      <x v="4"/>
    </i>
    <i>
      <x v="5"/>
    </i>
    <i t="grand">
      <x/>
    </i>
  </rowItems>
  <colItems count="1">
    <i/>
  </colItems>
  <dataFields count="1">
    <dataField name="Average of Attrition Flag" fld="13" subtotal="average" baseField="5" baseItem="0" numFmtId="9"/>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CA5C28-F70F-4EDB-B153-30D60D46C59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3:J14" firstHeaderRow="1" firstDataRow="1" firstDataCol="0"/>
  <pivotFields count="14">
    <pivotField showAll="0"/>
    <pivotField showAll="0"/>
    <pivotField showAll="0"/>
    <pivotField showAll="0"/>
    <pivotField showAll="0"/>
    <pivotField showAll="0">
      <items count="7">
        <item x="2"/>
        <item x="5"/>
        <item x="0"/>
        <item x="1"/>
        <item x="3"/>
        <item x="4"/>
        <item t="default"/>
      </items>
    </pivotField>
    <pivotField numFmtId="14" showAll="0"/>
    <pivotField numFmtId="1" showAll="0"/>
    <pivotField showAll="0">
      <items count="3">
        <item x="0"/>
        <item x="1"/>
        <item t="default"/>
      </items>
    </pivotField>
    <pivotField numFmtId="165" showAll="0"/>
    <pivotField showAll="0"/>
    <pivotField showAll="0">
      <items count="6">
        <item x="2"/>
        <item x="0"/>
        <item x="3"/>
        <item x="1"/>
        <item x="4"/>
        <item t="default"/>
      </items>
    </pivotField>
    <pivotField numFmtId="165" showAll="0"/>
    <pivotField dataField="1" showAll="0">
      <items count="3">
        <item x="0"/>
        <item x="1"/>
        <item t="default"/>
      </items>
    </pivotField>
  </pivotFields>
  <rowItems count="1">
    <i/>
  </rowItems>
  <colItems count="1">
    <i/>
  </colItems>
  <dataFields count="1">
    <dataField name="Average of Attrition Flag" fld="13"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349ACE-C174-49AF-B966-FD5F19B63BE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C9" firstHeaderRow="0" firstDataRow="1" firstDataCol="1"/>
  <pivotFields count="14">
    <pivotField dataField="1" showAll="0"/>
    <pivotField showAll="0"/>
    <pivotField showAll="0"/>
    <pivotField showAll="0"/>
    <pivotField showAll="0"/>
    <pivotField axis="axisRow" showAll="0">
      <items count="7">
        <item x="2"/>
        <item x="5"/>
        <item x="0"/>
        <item x="1"/>
        <item x="3"/>
        <item x="4"/>
        <item t="default"/>
      </items>
    </pivotField>
    <pivotField numFmtId="14" showAll="0"/>
    <pivotField numFmtId="1" showAll="0"/>
    <pivotField showAll="0">
      <items count="3">
        <item x="0"/>
        <item x="1"/>
        <item t="default"/>
      </items>
    </pivotField>
    <pivotField dataField="1" numFmtId="165" showAll="0"/>
    <pivotField showAll="0"/>
    <pivotField showAll="0">
      <items count="6">
        <item x="2"/>
        <item x="0"/>
        <item x="3"/>
        <item x="1"/>
        <item x="4"/>
        <item t="default"/>
      </items>
    </pivotField>
    <pivotField numFmtId="165" showAll="0"/>
    <pivotField showAll="0">
      <items count="3">
        <item x="0"/>
        <item x="1"/>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Count of Emp ID" fld="0" subtotal="count" baseField="0" baseItem="0"/>
    <dataField name="Average of Final Salary" fld="9" subtotal="average" baseField="5" baseItem="0" numFmtId="165"/>
  </dataFields>
  <chartFormats count="7">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5" count="1" selected="0">
            <x v="1"/>
          </reference>
        </references>
      </pivotArea>
    </chartFormat>
    <chartFormat chart="3" format="7">
      <pivotArea type="data" outline="0" fieldPosition="0">
        <references count="2">
          <reference field="4294967294" count="1" selected="0">
            <x v="1"/>
          </reference>
          <reference field="5" count="1" selected="0">
            <x v="2"/>
          </reference>
        </references>
      </pivotArea>
    </chartFormat>
    <chartFormat chart="3" format="8">
      <pivotArea type="data" outline="0" fieldPosition="0">
        <references count="2">
          <reference field="4294967294" count="1" selected="0">
            <x v="1"/>
          </reference>
          <reference field="5" count="1" selected="0">
            <x v="3"/>
          </reference>
        </references>
      </pivotArea>
    </chartFormat>
    <chartFormat chart="3" format="9">
      <pivotArea type="data" outline="0" fieldPosition="0">
        <references count="2">
          <reference field="4294967294" count="1" selected="0">
            <x v="1"/>
          </reference>
          <reference field="5" count="1" selected="0">
            <x v="4"/>
          </reference>
        </references>
      </pivotArea>
    </chartFormat>
    <chartFormat chart="3" format="10">
      <pivotArea type="data" outline="0" fieldPosition="0">
        <references count="2">
          <reference field="4294967294"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B57B10-4732-4AD6-8FAE-965162F05B7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J9" firstHeaderRow="1" firstDataRow="1" firstDataCol="0"/>
  <pivotFields count="14">
    <pivotField showAll="0"/>
    <pivotField showAll="0"/>
    <pivotField showAll="0"/>
    <pivotField showAll="0"/>
    <pivotField showAll="0"/>
    <pivotField showAll="0">
      <items count="7">
        <item x="2"/>
        <item x="5"/>
        <item x="0"/>
        <item x="1"/>
        <item x="3"/>
        <item x="4"/>
        <item t="default"/>
      </items>
    </pivotField>
    <pivotField numFmtId="14" showAll="0"/>
    <pivotField numFmtId="1" showAll="0"/>
    <pivotField showAll="0">
      <items count="3">
        <item x="0"/>
        <item x="1"/>
        <item t="default"/>
      </items>
    </pivotField>
    <pivotField dataField="1" numFmtId="165" showAll="0"/>
    <pivotField showAll="0"/>
    <pivotField showAll="0">
      <items count="6">
        <item x="2"/>
        <item x="0"/>
        <item x="3"/>
        <item x="1"/>
        <item x="4"/>
        <item t="default"/>
      </items>
    </pivotField>
    <pivotField numFmtId="165" showAll="0"/>
    <pivotField showAll="0">
      <items count="3">
        <item x="0"/>
        <item x="1"/>
        <item t="default"/>
      </items>
    </pivotField>
  </pivotFields>
  <rowItems count="1">
    <i/>
  </rowItems>
  <colItems count="1">
    <i/>
  </colItems>
  <dataFields count="1">
    <dataField name="Average of Final Salary" fld="9"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983897-A889-470B-B5F8-72F6B95614E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4">
    <pivotField dataField="1" showAll="0"/>
    <pivotField showAll="0"/>
    <pivotField showAll="0"/>
    <pivotField showAll="0"/>
    <pivotField showAll="0"/>
    <pivotField showAll="0">
      <items count="7">
        <item x="2"/>
        <item x="5"/>
        <item x="0"/>
        <item x="1"/>
        <item x="3"/>
        <item x="4"/>
        <item t="default"/>
      </items>
    </pivotField>
    <pivotField numFmtId="14" showAll="0"/>
    <pivotField numFmtId="1" showAll="0"/>
    <pivotField showAll="0">
      <items count="3">
        <item x="0"/>
        <item x="1"/>
        <item t="default"/>
      </items>
    </pivotField>
    <pivotField numFmtId="165" showAll="0"/>
    <pivotField showAll="0"/>
    <pivotField showAll="0">
      <items count="6">
        <item x="2"/>
        <item x="0"/>
        <item x="3"/>
        <item x="1"/>
        <item x="4"/>
        <item t="default"/>
      </items>
    </pivotField>
    <pivotField numFmtId="165" showAll="0"/>
    <pivotField showAll="0">
      <items count="3">
        <item x="0"/>
        <item x="1"/>
        <item t="default"/>
      </items>
    </pivotField>
  </pivotFields>
  <rowItems count="1">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BF5012-E428-4EC6-93BB-30F5D4AA253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2:B59" firstHeaderRow="1" firstDataRow="1" firstDataCol="1"/>
  <pivotFields count="14">
    <pivotField showAll="0"/>
    <pivotField showAll="0"/>
    <pivotField showAll="0"/>
    <pivotField showAll="0"/>
    <pivotField showAll="0"/>
    <pivotField axis="axisRow" showAll="0">
      <items count="7">
        <item x="2"/>
        <item x="5"/>
        <item x="0"/>
        <item x="1"/>
        <item x="3"/>
        <item x="4"/>
        <item t="default"/>
      </items>
    </pivotField>
    <pivotField numFmtId="14" showAll="0"/>
    <pivotField numFmtId="1" showAll="0"/>
    <pivotField showAll="0">
      <items count="3">
        <item x="0"/>
        <item x="1"/>
        <item t="default"/>
      </items>
    </pivotField>
    <pivotField dataField="1" numFmtId="165" showAll="0"/>
    <pivotField showAll="0"/>
    <pivotField showAll="0">
      <items count="6">
        <item x="2"/>
        <item x="0"/>
        <item x="3"/>
        <item x="1"/>
        <item x="4"/>
        <item t="default"/>
      </items>
    </pivotField>
    <pivotField numFmtId="165" showAll="0"/>
    <pivotField showAll="0"/>
  </pivotFields>
  <rowFields count="1">
    <field x="5"/>
  </rowFields>
  <rowItems count="7">
    <i>
      <x/>
    </i>
    <i>
      <x v="1"/>
    </i>
    <i>
      <x v="2"/>
    </i>
    <i>
      <x v="3"/>
    </i>
    <i>
      <x v="4"/>
    </i>
    <i>
      <x v="5"/>
    </i>
    <i t="grand">
      <x/>
    </i>
  </rowItems>
  <colItems count="1">
    <i/>
  </colItems>
  <dataFields count="1">
    <dataField name="Average of Final Salary" fld="9" subtotal="average" baseField="5" baseItem="0" numFmtId="165"/>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33E02F-D978-44FF-9124-FDB5093415EC}"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B48" firstHeaderRow="1" firstDataRow="1" firstDataCol="1"/>
  <pivotFields count="14">
    <pivotField dataField="1" showAll="0"/>
    <pivotField showAll="0"/>
    <pivotField showAll="0"/>
    <pivotField showAll="0"/>
    <pivotField showAll="0"/>
    <pivotField axis="axisRow" showAll="0">
      <items count="7">
        <item x="2"/>
        <item x="5"/>
        <item x="0"/>
        <item x="1"/>
        <item x="3"/>
        <item x="4"/>
        <item t="default"/>
      </items>
    </pivotField>
    <pivotField numFmtId="14" showAll="0"/>
    <pivotField numFmtId="1" showAll="0"/>
    <pivotField showAll="0">
      <items count="3">
        <item x="0"/>
        <item x="1"/>
        <item t="default"/>
      </items>
    </pivotField>
    <pivotField numFmtId="165" showAll="0"/>
    <pivotField showAll="0"/>
    <pivotField showAll="0">
      <items count="6">
        <item x="2"/>
        <item x="0"/>
        <item x="3"/>
        <item x="1"/>
        <item x="4"/>
        <item t="default"/>
      </items>
    </pivotField>
    <pivotField numFmtId="165" showAll="0"/>
    <pivotField showAll="0"/>
  </pivotFields>
  <rowFields count="1">
    <field x="5"/>
  </rowFields>
  <rowItems count="7">
    <i>
      <x/>
    </i>
    <i>
      <x v="1"/>
    </i>
    <i>
      <x v="2"/>
    </i>
    <i>
      <x v="3"/>
    </i>
    <i>
      <x v="4"/>
    </i>
    <i>
      <x v="5"/>
    </i>
    <i t="grand">
      <x/>
    </i>
  </rowItems>
  <colItems count="1">
    <i/>
  </colItems>
  <dataFields count="1">
    <dataField name="Count of Emp ID" fld="0" subtotal="count" showDataAs="percentOfTotal" baseField="0" baseItem="0" numFmtId="9"/>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3B0C93-3814-4899-B843-746467822FB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1:B37" firstHeaderRow="1" firstDataRow="1" firstDataCol="1"/>
  <pivotFields count="14">
    <pivotField showAll="0"/>
    <pivotField showAll="0"/>
    <pivotField showAll="0"/>
    <pivotField showAll="0"/>
    <pivotField showAll="0"/>
    <pivotField showAll="0">
      <items count="7">
        <item x="2"/>
        <item x="5"/>
        <item x="0"/>
        <item x="1"/>
        <item x="3"/>
        <item x="4"/>
        <item t="default"/>
      </items>
    </pivotField>
    <pivotField numFmtId="14" showAll="0">
      <items count="148">
        <item x="93"/>
        <item x="98"/>
        <item x="61"/>
        <item x="137"/>
        <item x="69"/>
        <item x="29"/>
        <item x="30"/>
        <item x="35"/>
        <item x="72"/>
        <item x="134"/>
        <item x="90"/>
        <item x="78"/>
        <item x="16"/>
        <item x="11"/>
        <item x="1"/>
        <item x="125"/>
        <item x="102"/>
        <item x="143"/>
        <item x="111"/>
        <item x="23"/>
        <item x="19"/>
        <item x="107"/>
        <item x="50"/>
        <item x="44"/>
        <item x="73"/>
        <item x="9"/>
        <item x="145"/>
        <item x="64"/>
        <item x="105"/>
        <item x="47"/>
        <item x="75"/>
        <item x="60"/>
        <item x="65"/>
        <item x="62"/>
        <item x="113"/>
        <item x="87"/>
        <item x="17"/>
        <item x="34"/>
        <item x="136"/>
        <item x="127"/>
        <item x="118"/>
        <item x="39"/>
        <item x="68"/>
        <item x="133"/>
        <item x="20"/>
        <item x="130"/>
        <item x="0"/>
        <item x="8"/>
        <item x="92"/>
        <item x="100"/>
        <item x="56"/>
        <item x="40"/>
        <item x="122"/>
        <item x="28"/>
        <item x="18"/>
        <item x="135"/>
        <item x="91"/>
        <item x="70"/>
        <item x="124"/>
        <item x="123"/>
        <item x="131"/>
        <item x="79"/>
        <item x="88"/>
        <item x="94"/>
        <item x="52"/>
        <item x="141"/>
        <item x="106"/>
        <item x="97"/>
        <item x="42"/>
        <item x="74"/>
        <item x="66"/>
        <item x="77"/>
        <item x="138"/>
        <item x="32"/>
        <item x="89"/>
        <item x="45"/>
        <item x="43"/>
        <item x="26"/>
        <item x="51"/>
        <item x="86"/>
        <item x="14"/>
        <item x="101"/>
        <item x="139"/>
        <item x="5"/>
        <item x="10"/>
        <item x="38"/>
        <item x="41"/>
        <item x="114"/>
        <item x="48"/>
        <item x="109"/>
        <item x="13"/>
        <item x="120"/>
        <item x="84"/>
        <item x="59"/>
        <item x="96"/>
        <item x="55"/>
        <item x="7"/>
        <item x="53"/>
        <item x="82"/>
        <item x="103"/>
        <item x="21"/>
        <item x="12"/>
        <item x="132"/>
        <item x="104"/>
        <item x="67"/>
        <item x="108"/>
        <item x="85"/>
        <item x="46"/>
        <item x="76"/>
        <item x="95"/>
        <item x="117"/>
        <item x="116"/>
        <item x="33"/>
        <item x="49"/>
        <item x="129"/>
        <item x="126"/>
        <item x="121"/>
        <item x="3"/>
        <item x="112"/>
        <item x="144"/>
        <item x="24"/>
        <item x="37"/>
        <item x="110"/>
        <item x="81"/>
        <item x="27"/>
        <item x="36"/>
        <item x="22"/>
        <item x="71"/>
        <item x="63"/>
        <item x="146"/>
        <item x="119"/>
        <item x="2"/>
        <item x="140"/>
        <item x="115"/>
        <item x="142"/>
        <item x="99"/>
        <item x="128"/>
        <item x="4"/>
        <item x="54"/>
        <item x="25"/>
        <item x="15"/>
        <item x="80"/>
        <item x="31"/>
        <item x="83"/>
        <item x="58"/>
        <item x="57"/>
        <item x="6"/>
        <item t="default"/>
      </items>
    </pivotField>
    <pivotField numFmtId="1" showAll="0"/>
    <pivotField showAll="0">
      <items count="3">
        <item x="0"/>
        <item x="1"/>
        <item t="default"/>
      </items>
    </pivotField>
    <pivotField numFmtId="165" showAll="0"/>
    <pivotField showAll="0"/>
    <pivotField axis="axisRow" showAll="0">
      <items count="6">
        <item x="2"/>
        <item x="0"/>
        <item x="3"/>
        <item x="1"/>
        <item x="4"/>
        <item t="default"/>
      </items>
    </pivotField>
    <pivotField dataField="1" numFmtId="165" showAll="0"/>
    <pivotField showAll="0">
      <items count="3">
        <item x="0"/>
        <item x="1"/>
        <item t="default"/>
      </items>
    </pivotField>
  </pivotFields>
  <rowFields count="1">
    <field x="11"/>
  </rowFields>
  <rowItems count="6">
    <i>
      <x/>
    </i>
    <i>
      <x v="1"/>
    </i>
    <i>
      <x v="2"/>
    </i>
    <i>
      <x v="3"/>
    </i>
    <i>
      <x v="4"/>
    </i>
    <i t="grand">
      <x/>
    </i>
  </rowItems>
  <colItems count="1">
    <i/>
  </colItems>
  <dataFields count="1">
    <dataField name="Sum of Eligible Bonus Amount" fld="12" baseField="0" baseItem="0" numFmtId="165"/>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3E6162-5394-4C11-813D-E2F501706BC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J19" firstHeaderRow="1" firstDataRow="1" firstDataCol="0"/>
  <pivotFields count="14">
    <pivotField showAll="0"/>
    <pivotField showAll="0"/>
    <pivotField showAll="0"/>
    <pivotField showAll="0"/>
    <pivotField showAll="0"/>
    <pivotField showAll="0">
      <items count="7">
        <item x="2"/>
        <item x="5"/>
        <item x="0"/>
        <item x="1"/>
        <item x="3"/>
        <item x="4"/>
        <item t="default"/>
      </items>
    </pivotField>
    <pivotField numFmtId="14" showAll="0"/>
    <pivotField numFmtId="1" showAll="0"/>
    <pivotField showAll="0">
      <items count="3">
        <item x="0"/>
        <item x="1"/>
        <item t="default"/>
      </items>
    </pivotField>
    <pivotField numFmtId="165" showAll="0"/>
    <pivotField showAll="0"/>
    <pivotField showAll="0">
      <items count="6">
        <item x="2"/>
        <item x="0"/>
        <item x="3"/>
        <item x="1"/>
        <item x="4"/>
        <item t="default"/>
      </items>
    </pivotField>
    <pivotField dataField="1" numFmtId="165" showAll="0"/>
    <pivotField showAll="0">
      <items count="3">
        <item x="0"/>
        <item x="1"/>
        <item t="default"/>
      </items>
    </pivotField>
  </pivotFields>
  <rowItems count="1">
    <i/>
  </rowItems>
  <colItems count="1">
    <i/>
  </colItems>
  <dataFields count="1">
    <dataField name="Sum of Eligible Bonus Amount"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088FDC-4D22-4F07-B73A-C3D4419D4A9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B27" firstHeaderRow="1" firstDataRow="1" firstDataCol="1"/>
  <pivotFields count="14">
    <pivotField showAll="0"/>
    <pivotField showAll="0"/>
    <pivotField showAll="0"/>
    <pivotField showAll="0"/>
    <pivotField showAll="0"/>
    <pivotField showAll="0">
      <items count="7">
        <item x="2"/>
        <item x="5"/>
        <item x="0"/>
        <item x="1"/>
        <item x="3"/>
        <item x="4"/>
        <item t="default"/>
      </items>
    </pivotField>
    <pivotField numFmtId="14" showAll="0"/>
    <pivotField numFmtId="1" showAll="0"/>
    <pivotField axis="axisRow" showAll="0">
      <items count="3">
        <item x="0"/>
        <item x="1"/>
        <item t="default"/>
      </items>
    </pivotField>
    <pivotField numFmtId="165" showAll="0"/>
    <pivotField dataField="1" showAll="0"/>
    <pivotField showAll="0">
      <items count="6">
        <item x="2"/>
        <item x="0"/>
        <item x="3"/>
        <item x="1"/>
        <item x="4"/>
        <item t="default"/>
      </items>
    </pivotField>
    <pivotField numFmtId="165" showAll="0"/>
    <pivotField showAll="0">
      <items count="3">
        <item x="0"/>
        <item x="1"/>
        <item t="default"/>
      </items>
    </pivotField>
  </pivotFields>
  <rowFields count="1">
    <field x="8"/>
  </rowFields>
  <rowItems count="3">
    <i>
      <x/>
    </i>
    <i>
      <x v="1"/>
    </i>
    <i t="grand">
      <x/>
    </i>
  </rowItems>
  <colItems count="1">
    <i/>
  </colItems>
  <dataFields count="1">
    <dataField name="Average of Final Perf_Score" fld="10" subtotal="average" baseField="8" baseItem="0" numFmtId="167"/>
  </dataFields>
  <chartFormats count="6">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1"/>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9679905-2ECB-40C3-9896-07D1CDB4446A}" autoFormatId="16" applyNumberFormats="0" applyBorderFormats="0" applyFontFormats="0" applyPatternFormats="0" applyAlignmentFormats="0" applyWidthHeightFormats="0">
  <queryTableRefresh nextId="18" unboundColumnsRight="3">
    <queryTableFields count="14">
      <queryTableField id="1" name="Emp ID" tableColumnId="1"/>
      <queryTableField id="2" name="First_Name" tableColumnId="2"/>
      <queryTableField id="3" name="Last_Name" tableColumnId="3"/>
      <queryTableField id="12" dataBound="0" tableColumnId="14"/>
      <queryTableField id="4" name="Dept Code" tableColumnId="4"/>
      <queryTableField id="9" dataBound="0" tableColumnId="10"/>
      <queryTableField id="5" name="Hire Date" tableColumnId="5"/>
      <queryTableField id="13" dataBound="0" tableColumnId="15"/>
      <queryTableField id="6" name="Employment Status" tableColumnId="6"/>
      <queryTableField id="7" name="Final Salary" tableColumnId="7"/>
      <queryTableField id="8" name="Final Perf_Score" tableColumnId="8"/>
      <queryTableField id="14" dataBound="0" tableColumnId="9"/>
      <queryTableField id="15" dataBound="0" tableColumnId="11"/>
      <queryTableField id="16"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065D4537-9DEB-4689-BFD1-5D77F9AC8C90}" sourceName="Department Name">
  <pivotTables>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 tabId="6" name="PivotTable11"/>
  </pivotTables>
  <data>
    <tabular pivotCacheId="1120254469">
      <items count="6">
        <i x="2" s="1"/>
        <i x="5"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75B5016C-60DC-4974-95C4-319E6B37ACFF}" sourceName="Employment Status">
  <pivotTables>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 tabId="6" name="PivotTable11"/>
    <pivotTable tabId="6" name="PivotTable2"/>
  </pivotTables>
  <data>
    <tabular pivotCacheId="112025446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85298C72-937A-4B5F-936F-9629A80DA040}" sourceName="Performance Band">
  <pivotTables>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 tabId="6" name="PivotTable11"/>
    <pivotTable tabId="6" name="PivotTable2"/>
  </pivotTables>
  <data>
    <tabular pivotCacheId="1120254469">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xr10:uid="{A5DC7396-0775-45BF-990D-808E6AC6FF64}" cache="Slicer_Department_Name" caption="Department Name" style="Slicer Style 1 2" rowHeight="234950"/>
  <slicer name="Employment Status" xr10:uid="{D1C0131A-0323-46D6-9402-3B7D60D43BD3}" cache="Slicer_Employment_Status" caption="Employment Status" style="Slicer Style 1 2" rowHeight="234950"/>
  <slicer name="Performance Band" xr10:uid="{E2E160F2-B13B-4444-95E0-FA0F45D3FDD6}" cache="Slicer_Performance_Band" caption="Performance Band" style="Slicer Style 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3222C9-31DA-46DD-BC27-3048E2D3D6BC}" name="base_cleaned" displayName="base_cleaned" ref="A1:N151" tableType="queryTable" totalsRowShown="0">
  <autoFilter ref="A1:N151" xr:uid="{2C3222C9-31DA-46DD-BC27-3048E2D3D6BC}"/>
  <tableColumns count="14">
    <tableColumn id="1" xr3:uid="{CCE49DEB-3DFB-44E4-992B-3D77602155FD}" uniqueName="1" name="Emp ID" queryTableFieldId="1" dataDxfId="18"/>
    <tableColumn id="2" xr3:uid="{27137FA9-EB61-4A2A-9D26-B43C22308DFB}" uniqueName="2" name="First_Name" queryTableFieldId="2" dataDxfId="17"/>
    <tableColumn id="3" xr3:uid="{81BE41DA-9A77-4AB9-8A80-AEF73938C014}" uniqueName="3" name="Last_Name" queryTableFieldId="3" dataDxfId="16"/>
    <tableColumn id="14" xr3:uid="{347C94A8-8440-4DA8-8573-A763F5C91F9E}" uniqueName="14" name="Full_name" queryTableFieldId="12" dataDxfId="15">
      <calculatedColumnFormula>base_cleaned[[#This Row],[First_Name]]&amp;" "&amp;base_cleaned[[#This Row],[Last_Name]]</calculatedColumnFormula>
    </tableColumn>
    <tableColumn id="4" xr3:uid="{309C4413-7BC5-4038-89F2-FC8F69ED666C}" uniqueName="4" name="Dept Code" queryTableFieldId="4" dataDxfId="14"/>
    <tableColumn id="10" xr3:uid="{1146CF1E-582F-486B-9A30-3BFA2C1B4459}" uniqueName="10" name="Department Name" queryTableFieldId="9" dataDxfId="13">
      <calculatedColumnFormula>VLOOKUP(E:E,Table7[#All],2,FALSE)</calculatedColumnFormula>
    </tableColumn>
    <tableColumn id="5" xr3:uid="{9489C26D-13E8-4468-8163-A50CB557917A}" uniqueName="5" name="Hire Date" queryTableFieldId="5" dataDxfId="12"/>
    <tableColumn id="15" xr3:uid="{12B21427-5958-4A02-9E7F-6516C1650722}" uniqueName="15" name="Years of Service" queryTableFieldId="13" dataDxfId="11">
      <calculatedColumnFormula>INT(YEARFRAC(base_cleaned[[#This Row],[Hire Date]],TODAY()))</calculatedColumnFormula>
    </tableColumn>
    <tableColumn id="6" xr3:uid="{9EC0490F-FA23-4512-B58E-350968EF2CE4}" uniqueName="6" name="Employment Status" queryTableFieldId="6" dataDxfId="10"/>
    <tableColumn id="7" xr3:uid="{A17CEA88-E7D2-4B92-862A-60773F3C97BC}" uniqueName="7" name="Final Salary" queryTableFieldId="7" dataDxfId="9"/>
    <tableColumn id="8" xr3:uid="{5C0EAFF0-AA91-4F77-B19C-923D52D2503F}" uniqueName="8" name="Final Perf_Score" queryTableFieldId="8"/>
    <tableColumn id="9" xr3:uid="{16FF9628-0C08-4AF4-83BF-48A93672AAE1}" uniqueName="9" name="Performance Band" queryTableFieldId="14" dataDxfId="8">
      <calculatedColumnFormula>VLOOKUP((base_cleaned[[#This Row],[Final Perf_Score]]),Table8[],3,TRUE)</calculatedColumnFormula>
    </tableColumn>
    <tableColumn id="11" xr3:uid="{89B579B8-7807-4D8D-85D6-309B79300BD2}" uniqueName="11" name="Eligible Bonus Amount" queryTableFieldId="15" dataDxfId="7">
      <calculatedColumnFormula>((base_cleaned[[#This Row],[Final Salary]]*VLOOKUP((base_cleaned[[#This Row],[Final Perf_Score]]),Table8[],4,TRUE)))</calculatedColumnFormula>
    </tableColumn>
    <tableColumn id="12" xr3:uid="{D253B51E-DA11-4850-B7C3-77F998C698D0}" uniqueName="12" name="Attrition Flag" queryTableFieldId="16" dataDxfId="6">
      <calculatedColumnFormula>IF(base_cleaned[[#This Row],[Employment Status]]="LEFT",1,0)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E7501D-449F-4FA6-8799-3E6013A34735}" name="Table7" displayName="Table7" ref="A1:B7" totalsRowShown="0" headerRowDxfId="5" headerRowBorderDxfId="4" tableBorderDxfId="3">
  <autoFilter ref="A1:B7" xr:uid="{9AE7501D-449F-4FA6-8799-3E6013A34735}"/>
  <tableColumns count="2">
    <tableColumn id="1" xr3:uid="{741CED18-4A54-4E98-9170-75E9FB8A2D16}" name="Dept_Code"/>
    <tableColumn id="2" xr3:uid="{11CDE78D-9CE9-4948-9036-F4E620E52A68}" name="Department_Nam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4D57F9-2BE2-4012-B1D4-90A39EB8E1A7}" name="Table8" displayName="Table8" ref="A1:D6" totalsRowShown="0" headerRowDxfId="2" headerRowBorderDxfId="1" tableBorderDxfId="0">
  <autoFilter ref="A1:D6" xr:uid="{D84D57F9-2BE2-4012-B1D4-90A39EB8E1A7}"/>
  <tableColumns count="4">
    <tableColumn id="1" xr3:uid="{399BBB82-707E-4D70-AA69-DA589EE7CC9A}" name="Min_Score"/>
    <tableColumn id="2" xr3:uid="{83CC1EFE-E835-4735-80DB-E2EC8E8E7593}" name="Max_Score"/>
    <tableColumn id="3" xr3:uid="{347B787A-C432-44C0-86A3-D990A775A56B}" name="Performance_Band"/>
    <tableColumn id="4" xr3:uid="{D75D6789-221A-44D3-BD90-D8220C2A0BE5}" name="Bonus_Percenta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8"/>
  <sheetViews>
    <sheetView topLeftCell="A132" workbookViewId="0">
      <selection sqref="A1:H158"/>
    </sheetView>
  </sheetViews>
  <sheetFormatPr defaultRowHeight="14.4" x14ac:dyDescent="0.3"/>
  <cols>
    <col min="1" max="1" width="7.6640625" bestFit="1" customWidth="1"/>
    <col min="2" max="2" width="10.44140625" bestFit="1" customWidth="1"/>
    <col min="3" max="3" width="10.33203125" bestFit="1" customWidth="1"/>
    <col min="4" max="4" width="9.77734375" bestFit="1" customWidth="1"/>
    <col min="5" max="5" width="18.109375" bestFit="1" customWidth="1"/>
    <col min="6" max="6" width="8.44140625" bestFit="1" customWidth="1"/>
    <col min="7" max="7" width="10.109375" bestFit="1" customWidth="1"/>
    <col min="8" max="8" width="17.6640625" bestFit="1"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s="2">
        <v>43093</v>
      </c>
      <c r="F2">
        <v>50361</v>
      </c>
      <c r="G2">
        <v>52</v>
      </c>
      <c r="H2" t="s">
        <v>12</v>
      </c>
    </row>
    <row r="3" spans="1:8" x14ac:dyDescent="0.3">
      <c r="A3" t="s">
        <v>13</v>
      </c>
      <c r="B3" t="s">
        <v>14</v>
      </c>
      <c r="C3" t="s">
        <v>15</v>
      </c>
      <c r="D3" t="s">
        <v>16</v>
      </c>
      <c r="E3" s="2">
        <v>44659</v>
      </c>
      <c r="F3">
        <v>112673</v>
      </c>
      <c r="H3" t="s">
        <v>17</v>
      </c>
    </row>
    <row r="4" spans="1:8" x14ac:dyDescent="0.3">
      <c r="A4" t="s">
        <v>18</v>
      </c>
      <c r="B4" t="s">
        <v>9</v>
      </c>
      <c r="C4" t="s">
        <v>19</v>
      </c>
      <c r="D4" t="s">
        <v>20</v>
      </c>
      <c r="E4" s="2">
        <v>42431</v>
      </c>
      <c r="F4" t="s">
        <v>21</v>
      </c>
      <c r="G4">
        <v>54</v>
      </c>
      <c r="H4" t="s">
        <v>22</v>
      </c>
    </row>
    <row r="5" spans="1:8" x14ac:dyDescent="0.3">
      <c r="A5" t="s">
        <v>23</v>
      </c>
      <c r="B5" t="s">
        <v>24</v>
      </c>
      <c r="C5" t="s">
        <v>25</v>
      </c>
      <c r="D5" t="s">
        <v>26</v>
      </c>
      <c r="E5" s="2">
        <v>45110</v>
      </c>
      <c r="F5">
        <v>103831</v>
      </c>
      <c r="G5">
        <v>70</v>
      </c>
      <c r="H5" t="s">
        <v>12</v>
      </c>
    </row>
    <row r="6" spans="1:8" x14ac:dyDescent="0.3">
      <c r="A6" t="s">
        <v>27</v>
      </c>
      <c r="B6" t="s">
        <v>28</v>
      </c>
      <c r="C6" t="s">
        <v>29</v>
      </c>
      <c r="D6" t="s">
        <v>11</v>
      </c>
      <c r="E6" s="2">
        <v>44977</v>
      </c>
      <c r="F6">
        <v>73785</v>
      </c>
      <c r="G6">
        <v>40</v>
      </c>
      <c r="H6" t="s">
        <v>30</v>
      </c>
    </row>
    <row r="7" spans="1:8" x14ac:dyDescent="0.3">
      <c r="A7" t="s">
        <v>31</v>
      </c>
      <c r="B7" t="s">
        <v>9</v>
      </c>
      <c r="C7" t="s">
        <v>32</v>
      </c>
      <c r="D7" t="s">
        <v>33</v>
      </c>
      <c r="E7" t="s">
        <v>34</v>
      </c>
      <c r="F7">
        <v>115882</v>
      </c>
      <c r="G7">
        <v>49</v>
      </c>
      <c r="H7" t="s">
        <v>17</v>
      </c>
    </row>
    <row r="8" spans="1:8" x14ac:dyDescent="0.3">
      <c r="A8" t="s">
        <v>35</v>
      </c>
      <c r="B8" t="s">
        <v>24</v>
      </c>
      <c r="C8" t="s">
        <v>36</v>
      </c>
      <c r="D8" t="s">
        <v>37</v>
      </c>
      <c r="E8" s="2">
        <v>45272</v>
      </c>
      <c r="F8">
        <v>59980</v>
      </c>
      <c r="G8">
        <v>70</v>
      </c>
      <c r="H8" t="s">
        <v>30</v>
      </c>
    </row>
    <row r="9" spans="1:8" x14ac:dyDescent="0.3">
      <c r="A9" t="s">
        <v>38</v>
      </c>
      <c r="B9" t="s">
        <v>39</v>
      </c>
      <c r="C9" t="s">
        <v>29</v>
      </c>
      <c r="D9" t="s">
        <v>37</v>
      </c>
      <c r="E9" s="2">
        <v>44174</v>
      </c>
      <c r="F9">
        <v>68728</v>
      </c>
      <c r="G9">
        <v>45</v>
      </c>
      <c r="H9" t="s">
        <v>17</v>
      </c>
    </row>
    <row r="10" spans="1:8" x14ac:dyDescent="0.3">
      <c r="A10" t="s">
        <v>40</v>
      </c>
      <c r="C10" t="s">
        <v>41</v>
      </c>
      <c r="D10" t="s">
        <v>26</v>
      </c>
      <c r="E10" s="2">
        <v>43107</v>
      </c>
      <c r="F10">
        <v>102139</v>
      </c>
      <c r="G10">
        <v>79</v>
      </c>
      <c r="H10" t="s">
        <v>12</v>
      </c>
    </row>
    <row r="11" spans="1:8" x14ac:dyDescent="0.3">
      <c r="A11" t="s">
        <v>42</v>
      </c>
      <c r="B11" t="s">
        <v>43</v>
      </c>
      <c r="C11" t="s">
        <v>25</v>
      </c>
      <c r="D11" t="s">
        <v>44</v>
      </c>
      <c r="E11" s="2">
        <v>42676</v>
      </c>
      <c r="F11">
        <v>94998</v>
      </c>
      <c r="G11">
        <v>58</v>
      </c>
      <c r="H11" t="s">
        <v>45</v>
      </c>
    </row>
    <row r="12" spans="1:8" x14ac:dyDescent="0.3">
      <c r="A12" t="s">
        <v>46</v>
      </c>
      <c r="B12" t="s">
        <v>9</v>
      </c>
      <c r="C12" t="s">
        <v>47</v>
      </c>
      <c r="D12" t="s">
        <v>48</v>
      </c>
      <c r="E12" s="2">
        <v>43911</v>
      </c>
      <c r="F12" t="s">
        <v>49</v>
      </c>
      <c r="G12">
        <v>49</v>
      </c>
      <c r="H12" t="s">
        <v>45</v>
      </c>
    </row>
    <row r="13" spans="1:8" x14ac:dyDescent="0.3">
      <c r="A13" t="s">
        <v>50</v>
      </c>
      <c r="B13" t="s">
        <v>9</v>
      </c>
      <c r="C13" t="s">
        <v>15</v>
      </c>
      <c r="D13" t="s">
        <v>11</v>
      </c>
      <c r="E13" s="2">
        <v>42425</v>
      </c>
      <c r="F13">
        <v>76918</v>
      </c>
      <c r="G13">
        <v>62</v>
      </c>
      <c r="H13" t="s">
        <v>51</v>
      </c>
    </row>
    <row r="14" spans="1:8" x14ac:dyDescent="0.3">
      <c r="A14" t="s">
        <v>52</v>
      </c>
      <c r="B14" t="s">
        <v>53</v>
      </c>
      <c r="C14" t="s">
        <v>54</v>
      </c>
      <c r="D14" t="s">
        <v>55</v>
      </c>
      <c r="E14" t="s">
        <v>56</v>
      </c>
      <c r="F14">
        <v>61408</v>
      </c>
      <c r="G14">
        <v>48</v>
      </c>
      <c r="H14" t="s">
        <v>17</v>
      </c>
    </row>
    <row r="15" spans="1:8" x14ac:dyDescent="0.3">
      <c r="A15" t="s">
        <v>57</v>
      </c>
      <c r="B15" t="s">
        <v>53</v>
      </c>
      <c r="C15" t="s">
        <v>47</v>
      </c>
      <c r="D15" t="s">
        <v>16</v>
      </c>
      <c r="E15" s="2">
        <v>44001</v>
      </c>
      <c r="F15">
        <v>99990</v>
      </c>
      <c r="G15">
        <v>54</v>
      </c>
      <c r="H15" t="s">
        <v>51</v>
      </c>
    </row>
    <row r="16" spans="1:8" x14ac:dyDescent="0.3">
      <c r="A16" t="s">
        <v>58</v>
      </c>
      <c r="B16" t="s">
        <v>59</v>
      </c>
      <c r="C16" t="s">
        <v>60</v>
      </c>
      <c r="D16" t="s">
        <v>61</v>
      </c>
      <c r="E16" s="2">
        <v>43820</v>
      </c>
      <c r="F16">
        <v>80385</v>
      </c>
      <c r="H16" t="s">
        <v>12</v>
      </c>
    </row>
    <row r="17" spans="1:8" x14ac:dyDescent="0.3">
      <c r="A17" t="s">
        <v>62</v>
      </c>
      <c r="B17" t="s">
        <v>28</v>
      </c>
      <c r="C17" t="s">
        <v>41</v>
      </c>
      <c r="D17" t="s">
        <v>44</v>
      </c>
      <c r="E17" s="2">
        <v>45169</v>
      </c>
      <c r="F17">
        <v>65290</v>
      </c>
      <c r="G17">
        <v>77</v>
      </c>
      <c r="H17" t="s">
        <v>12</v>
      </c>
    </row>
    <row r="18" spans="1:8" x14ac:dyDescent="0.3">
      <c r="A18" t="s">
        <v>63</v>
      </c>
      <c r="B18" t="s">
        <v>9</v>
      </c>
      <c r="C18" t="s">
        <v>64</v>
      </c>
      <c r="D18" t="s">
        <v>11</v>
      </c>
      <c r="E18" s="2">
        <v>42337</v>
      </c>
      <c r="F18">
        <v>105765</v>
      </c>
      <c r="G18">
        <v>42</v>
      </c>
      <c r="H18" t="s">
        <v>45</v>
      </c>
    </row>
    <row r="19" spans="1:8" x14ac:dyDescent="0.3">
      <c r="A19" t="s">
        <v>65</v>
      </c>
      <c r="B19" t="s">
        <v>66</v>
      </c>
      <c r="C19" t="s">
        <v>25</v>
      </c>
      <c r="D19" t="s">
        <v>44</v>
      </c>
      <c r="E19" s="2">
        <v>42899</v>
      </c>
      <c r="F19">
        <v>102921</v>
      </c>
      <c r="G19">
        <v>49</v>
      </c>
      <c r="H19" t="s">
        <v>17</v>
      </c>
    </row>
    <row r="20" spans="1:8" x14ac:dyDescent="0.3">
      <c r="A20" t="s">
        <v>50</v>
      </c>
      <c r="B20" t="s">
        <v>9</v>
      </c>
      <c r="C20" t="s">
        <v>15</v>
      </c>
      <c r="D20" t="s">
        <v>11</v>
      </c>
      <c r="E20" s="2">
        <v>42425</v>
      </c>
      <c r="F20">
        <v>76918</v>
      </c>
      <c r="G20">
        <v>62</v>
      </c>
      <c r="H20" t="s">
        <v>51</v>
      </c>
    </row>
    <row r="21" spans="1:8" x14ac:dyDescent="0.3">
      <c r="A21" t="s">
        <v>67</v>
      </c>
      <c r="B21" t="s">
        <v>68</v>
      </c>
      <c r="C21" t="s">
        <v>69</v>
      </c>
      <c r="D21" t="s">
        <v>16</v>
      </c>
      <c r="E21" s="2">
        <v>43235</v>
      </c>
      <c r="F21">
        <v>73984</v>
      </c>
      <c r="G21">
        <v>93</v>
      </c>
      <c r="H21" t="s">
        <v>51</v>
      </c>
    </row>
    <row r="22" spans="1:8" x14ac:dyDescent="0.3">
      <c r="A22" t="s">
        <v>70</v>
      </c>
      <c r="B22" t="s">
        <v>71</v>
      </c>
      <c r="C22" t="s">
        <v>19</v>
      </c>
      <c r="D22" t="s">
        <v>11</v>
      </c>
      <c r="E22" s="2">
        <v>42575</v>
      </c>
      <c r="G22">
        <v>75</v>
      </c>
      <c r="H22" t="s">
        <v>51</v>
      </c>
    </row>
    <row r="23" spans="1:8" x14ac:dyDescent="0.3">
      <c r="A23" t="s">
        <v>72</v>
      </c>
      <c r="B23" t="s">
        <v>43</v>
      </c>
      <c r="C23" t="s">
        <v>15</v>
      </c>
      <c r="D23" t="s">
        <v>26</v>
      </c>
      <c r="E23" s="2">
        <v>43076</v>
      </c>
      <c r="F23">
        <v>118527</v>
      </c>
      <c r="G23">
        <v>50</v>
      </c>
      <c r="H23" t="s">
        <v>51</v>
      </c>
    </row>
    <row r="24" spans="1:8" x14ac:dyDescent="0.3">
      <c r="A24" t="s">
        <v>73</v>
      </c>
      <c r="B24" t="s">
        <v>14</v>
      </c>
      <c r="C24" t="s">
        <v>15</v>
      </c>
      <c r="D24" t="s">
        <v>16</v>
      </c>
      <c r="E24" s="2">
        <v>44353</v>
      </c>
      <c r="F24">
        <v>107871</v>
      </c>
      <c r="G24">
        <v>88</v>
      </c>
      <c r="H24" t="s">
        <v>12</v>
      </c>
    </row>
    <row r="25" spans="1:8" x14ac:dyDescent="0.3">
      <c r="A25" t="s">
        <v>74</v>
      </c>
      <c r="B25" t="s">
        <v>43</v>
      </c>
      <c r="C25" t="s">
        <v>41</v>
      </c>
      <c r="D25" t="s">
        <v>20</v>
      </c>
      <c r="E25" s="2">
        <v>44815</v>
      </c>
      <c r="F25">
        <v>93956</v>
      </c>
      <c r="G25">
        <v>50</v>
      </c>
      <c r="H25" t="s">
        <v>22</v>
      </c>
    </row>
    <row r="26" spans="1:8" x14ac:dyDescent="0.3">
      <c r="A26" t="s">
        <v>75</v>
      </c>
      <c r="B26" t="s">
        <v>39</v>
      </c>
      <c r="C26" t="s">
        <v>32</v>
      </c>
      <c r="D26" t="s">
        <v>76</v>
      </c>
      <c r="E26" s="2">
        <v>42565</v>
      </c>
      <c r="F26">
        <v>100851</v>
      </c>
      <c r="G26">
        <v>64</v>
      </c>
      <c r="H26" t="s">
        <v>17</v>
      </c>
    </row>
    <row r="27" spans="1:8" x14ac:dyDescent="0.3">
      <c r="A27" t="s">
        <v>77</v>
      </c>
      <c r="B27" t="s">
        <v>68</v>
      </c>
      <c r="C27" t="s">
        <v>54</v>
      </c>
      <c r="D27" t="s">
        <v>44</v>
      </c>
      <c r="E27" s="2">
        <v>44728</v>
      </c>
      <c r="F27">
        <v>68655</v>
      </c>
      <c r="G27">
        <v>32</v>
      </c>
      <c r="H27" t="s">
        <v>12</v>
      </c>
    </row>
    <row r="28" spans="1:8" x14ac:dyDescent="0.3">
      <c r="A28" t="s">
        <v>78</v>
      </c>
      <c r="C28" t="s">
        <v>54</v>
      </c>
      <c r="D28" t="s">
        <v>79</v>
      </c>
      <c r="E28" s="2">
        <v>45134</v>
      </c>
      <c r="F28">
        <v>81205</v>
      </c>
      <c r="G28">
        <v>59</v>
      </c>
      <c r="H28" t="s">
        <v>51</v>
      </c>
    </row>
    <row r="29" spans="1:8" x14ac:dyDescent="0.3">
      <c r="A29" t="s">
        <v>80</v>
      </c>
      <c r="B29" t="s">
        <v>24</v>
      </c>
      <c r="C29" t="s">
        <v>36</v>
      </c>
      <c r="D29" t="s">
        <v>44</v>
      </c>
      <c r="E29" t="s">
        <v>81</v>
      </c>
      <c r="F29" t="s">
        <v>82</v>
      </c>
      <c r="G29">
        <v>88</v>
      </c>
      <c r="H29" t="s">
        <v>51</v>
      </c>
    </row>
    <row r="30" spans="1:8" x14ac:dyDescent="0.3">
      <c r="A30" t="s">
        <v>83</v>
      </c>
      <c r="B30" t="s">
        <v>28</v>
      </c>
      <c r="C30" t="s">
        <v>41</v>
      </c>
      <c r="D30" t="s">
        <v>84</v>
      </c>
      <c r="E30" s="2">
        <v>44765</v>
      </c>
      <c r="F30" t="s">
        <v>85</v>
      </c>
      <c r="G30">
        <v>90</v>
      </c>
      <c r="H30" t="s">
        <v>45</v>
      </c>
    </row>
    <row r="31" spans="1:8" x14ac:dyDescent="0.3">
      <c r="A31" t="s">
        <v>86</v>
      </c>
      <c r="B31" t="s">
        <v>43</v>
      </c>
      <c r="C31" t="s">
        <v>36</v>
      </c>
      <c r="D31" t="s">
        <v>87</v>
      </c>
      <c r="E31" t="s">
        <v>88</v>
      </c>
      <c r="F31">
        <v>85312</v>
      </c>
      <c r="G31">
        <v>66</v>
      </c>
      <c r="H31" t="s">
        <v>12</v>
      </c>
    </row>
    <row r="32" spans="1:8" x14ac:dyDescent="0.3">
      <c r="A32" t="s">
        <v>89</v>
      </c>
      <c r="B32" t="s">
        <v>24</v>
      </c>
      <c r="C32" t="s">
        <v>41</v>
      </c>
      <c r="D32" t="s">
        <v>44</v>
      </c>
      <c r="E32" s="2">
        <v>42202</v>
      </c>
      <c r="G32">
        <v>68</v>
      </c>
      <c r="H32" t="s">
        <v>12</v>
      </c>
    </row>
    <row r="33" spans="1:8" x14ac:dyDescent="0.3">
      <c r="A33" t="s">
        <v>90</v>
      </c>
      <c r="B33" t="s">
        <v>28</v>
      </c>
      <c r="C33" t="s">
        <v>15</v>
      </c>
      <c r="D33" t="s">
        <v>33</v>
      </c>
      <c r="E33" t="s">
        <v>91</v>
      </c>
      <c r="F33">
        <v>97055</v>
      </c>
      <c r="G33">
        <v>80</v>
      </c>
      <c r="H33" t="s">
        <v>51</v>
      </c>
    </row>
    <row r="34" spans="1:8" x14ac:dyDescent="0.3">
      <c r="A34" t="s">
        <v>92</v>
      </c>
      <c r="B34" t="s">
        <v>43</v>
      </c>
      <c r="C34" t="s">
        <v>32</v>
      </c>
      <c r="D34" t="s">
        <v>11</v>
      </c>
      <c r="E34" s="2">
        <v>45195</v>
      </c>
      <c r="F34">
        <v>66069</v>
      </c>
      <c r="G34">
        <v>72</v>
      </c>
      <c r="H34" t="s">
        <v>51</v>
      </c>
    </row>
    <row r="35" spans="1:8" x14ac:dyDescent="0.3">
      <c r="A35" t="s">
        <v>93</v>
      </c>
      <c r="B35" t="s">
        <v>94</v>
      </c>
      <c r="C35" t="s">
        <v>10</v>
      </c>
      <c r="D35" t="s">
        <v>84</v>
      </c>
      <c r="E35" t="s">
        <v>95</v>
      </c>
      <c r="F35">
        <v>90157</v>
      </c>
      <c r="G35">
        <v>58</v>
      </c>
      <c r="H35" t="s">
        <v>12</v>
      </c>
    </row>
    <row r="36" spans="1:8" x14ac:dyDescent="0.3">
      <c r="A36" t="s">
        <v>96</v>
      </c>
      <c r="B36" t="s">
        <v>53</v>
      </c>
      <c r="C36" t="s">
        <v>25</v>
      </c>
      <c r="D36" t="s">
        <v>97</v>
      </c>
      <c r="E36" s="2">
        <v>44578</v>
      </c>
      <c r="F36">
        <v>59899</v>
      </c>
      <c r="G36">
        <v>78</v>
      </c>
      <c r="H36" t="s">
        <v>51</v>
      </c>
    </row>
    <row r="37" spans="1:8" x14ac:dyDescent="0.3">
      <c r="A37" t="s">
        <v>98</v>
      </c>
      <c r="B37" t="s">
        <v>9</v>
      </c>
      <c r="C37" t="s">
        <v>60</v>
      </c>
      <c r="D37" t="s">
        <v>76</v>
      </c>
      <c r="E37" t="s">
        <v>99</v>
      </c>
      <c r="F37">
        <v>113389</v>
      </c>
      <c r="G37">
        <v>30</v>
      </c>
      <c r="H37" t="s">
        <v>17</v>
      </c>
    </row>
    <row r="38" spans="1:8" x14ac:dyDescent="0.3">
      <c r="A38" t="s">
        <v>100</v>
      </c>
      <c r="C38" t="s">
        <v>10</v>
      </c>
      <c r="D38" t="s">
        <v>20</v>
      </c>
      <c r="E38" t="s">
        <v>101</v>
      </c>
      <c r="F38">
        <v>102691</v>
      </c>
      <c r="G38">
        <v>52</v>
      </c>
      <c r="H38" t="s">
        <v>45</v>
      </c>
    </row>
    <row r="39" spans="1:8" x14ac:dyDescent="0.3">
      <c r="A39" t="s">
        <v>102</v>
      </c>
      <c r="B39" t="s">
        <v>24</v>
      </c>
      <c r="C39" t="s">
        <v>36</v>
      </c>
      <c r="D39" t="s">
        <v>33</v>
      </c>
      <c r="E39" t="s">
        <v>103</v>
      </c>
      <c r="F39">
        <v>111845</v>
      </c>
      <c r="G39">
        <v>98</v>
      </c>
      <c r="H39" t="s">
        <v>12</v>
      </c>
    </row>
    <row r="40" spans="1:8" x14ac:dyDescent="0.3">
      <c r="A40" t="s">
        <v>104</v>
      </c>
      <c r="B40" t="s">
        <v>105</v>
      </c>
      <c r="C40" t="s">
        <v>10</v>
      </c>
      <c r="D40" t="s">
        <v>79</v>
      </c>
      <c r="E40" t="s">
        <v>106</v>
      </c>
      <c r="F40">
        <v>69219</v>
      </c>
      <c r="G40">
        <v>93</v>
      </c>
      <c r="H40" t="s">
        <v>51</v>
      </c>
    </row>
    <row r="41" spans="1:8" x14ac:dyDescent="0.3">
      <c r="A41" t="s">
        <v>107</v>
      </c>
      <c r="B41" t="s">
        <v>43</v>
      </c>
      <c r="C41" t="s">
        <v>29</v>
      </c>
      <c r="D41" t="s">
        <v>26</v>
      </c>
      <c r="E41" s="2">
        <v>43949</v>
      </c>
      <c r="G41">
        <v>80</v>
      </c>
      <c r="H41" t="s">
        <v>108</v>
      </c>
    </row>
    <row r="42" spans="1:8" x14ac:dyDescent="0.3">
      <c r="A42" t="s">
        <v>109</v>
      </c>
      <c r="B42" t="s">
        <v>94</v>
      </c>
      <c r="C42" t="s">
        <v>47</v>
      </c>
      <c r="D42" t="s">
        <v>33</v>
      </c>
      <c r="E42" t="s">
        <v>110</v>
      </c>
      <c r="F42">
        <v>57514</v>
      </c>
      <c r="H42" t="s">
        <v>12</v>
      </c>
    </row>
    <row r="43" spans="1:8" x14ac:dyDescent="0.3">
      <c r="A43" t="s">
        <v>111</v>
      </c>
      <c r="B43" t="s">
        <v>9</v>
      </c>
      <c r="C43" t="s">
        <v>36</v>
      </c>
      <c r="D43" t="s">
        <v>44</v>
      </c>
      <c r="E43" s="2">
        <v>43181</v>
      </c>
      <c r="F43">
        <v>86245</v>
      </c>
      <c r="G43">
        <v>71</v>
      </c>
      <c r="H43" t="s">
        <v>22</v>
      </c>
    </row>
    <row r="44" spans="1:8" x14ac:dyDescent="0.3">
      <c r="A44" t="s">
        <v>112</v>
      </c>
      <c r="B44" t="s">
        <v>113</v>
      </c>
      <c r="C44" t="s">
        <v>15</v>
      </c>
      <c r="D44" t="s">
        <v>44</v>
      </c>
      <c r="E44" s="2">
        <v>43958</v>
      </c>
      <c r="F44">
        <v>52407</v>
      </c>
      <c r="G44">
        <v>55</v>
      </c>
      <c r="H44" t="s">
        <v>12</v>
      </c>
    </row>
    <row r="45" spans="1:8" x14ac:dyDescent="0.3">
      <c r="A45" t="s">
        <v>114</v>
      </c>
      <c r="B45" t="s">
        <v>66</v>
      </c>
      <c r="C45" t="s">
        <v>29</v>
      </c>
      <c r="D45" t="s">
        <v>37</v>
      </c>
      <c r="E45" s="2">
        <v>43549</v>
      </c>
      <c r="F45" t="s">
        <v>115</v>
      </c>
      <c r="G45">
        <v>93</v>
      </c>
      <c r="H45" t="s">
        <v>116</v>
      </c>
    </row>
    <row r="46" spans="1:8" x14ac:dyDescent="0.3">
      <c r="A46" t="s">
        <v>117</v>
      </c>
      <c r="B46" t="s">
        <v>94</v>
      </c>
      <c r="C46" t="s">
        <v>54</v>
      </c>
      <c r="D46" t="s">
        <v>11</v>
      </c>
      <c r="E46" s="2">
        <v>43686</v>
      </c>
      <c r="F46">
        <v>81896</v>
      </c>
      <c r="G46">
        <v>79</v>
      </c>
      <c r="H46" t="s">
        <v>116</v>
      </c>
    </row>
    <row r="47" spans="1:8" x14ac:dyDescent="0.3">
      <c r="A47" t="s">
        <v>118</v>
      </c>
      <c r="B47" t="s">
        <v>71</v>
      </c>
      <c r="C47" t="s">
        <v>69</v>
      </c>
      <c r="D47" t="s">
        <v>44</v>
      </c>
      <c r="E47" t="s">
        <v>119</v>
      </c>
      <c r="F47">
        <v>78402</v>
      </c>
      <c r="G47">
        <v>54</v>
      </c>
      <c r="H47" t="s">
        <v>17</v>
      </c>
    </row>
    <row r="48" spans="1:8" x14ac:dyDescent="0.3">
      <c r="A48" t="s">
        <v>120</v>
      </c>
      <c r="B48" t="s">
        <v>28</v>
      </c>
      <c r="C48" t="s">
        <v>69</v>
      </c>
      <c r="D48" t="s">
        <v>37</v>
      </c>
      <c r="E48" s="2">
        <v>42647</v>
      </c>
      <c r="F48">
        <v>105498</v>
      </c>
      <c r="G48">
        <v>76</v>
      </c>
      <c r="H48" t="s">
        <v>12</v>
      </c>
    </row>
    <row r="49" spans="1:8" x14ac:dyDescent="0.3">
      <c r="A49" t="s">
        <v>121</v>
      </c>
      <c r="B49" t="s">
        <v>105</v>
      </c>
      <c r="C49" t="s">
        <v>32</v>
      </c>
      <c r="D49" t="s">
        <v>16</v>
      </c>
      <c r="E49" t="s">
        <v>122</v>
      </c>
      <c r="F49">
        <v>91749</v>
      </c>
      <c r="G49">
        <v>72</v>
      </c>
      <c r="H49" t="s">
        <v>108</v>
      </c>
    </row>
    <row r="50" spans="1:8" x14ac:dyDescent="0.3">
      <c r="A50" t="s">
        <v>123</v>
      </c>
      <c r="B50" t="s">
        <v>71</v>
      </c>
      <c r="C50" t="s">
        <v>32</v>
      </c>
      <c r="D50" t="s">
        <v>37</v>
      </c>
      <c r="E50" s="2">
        <v>44437</v>
      </c>
      <c r="F50">
        <v>99935</v>
      </c>
      <c r="G50">
        <v>84</v>
      </c>
      <c r="H50" t="s">
        <v>116</v>
      </c>
    </row>
    <row r="51" spans="1:8" x14ac:dyDescent="0.3">
      <c r="A51" t="s">
        <v>124</v>
      </c>
      <c r="B51" t="s">
        <v>24</v>
      </c>
      <c r="C51" t="s">
        <v>64</v>
      </c>
      <c r="D51" t="s">
        <v>20</v>
      </c>
      <c r="E51" s="2">
        <v>42761</v>
      </c>
      <c r="F51">
        <v>83531</v>
      </c>
      <c r="G51">
        <v>30</v>
      </c>
      <c r="H51" t="s">
        <v>108</v>
      </c>
    </row>
    <row r="52" spans="1:8" x14ac:dyDescent="0.3">
      <c r="A52" t="s">
        <v>125</v>
      </c>
      <c r="B52" t="s">
        <v>66</v>
      </c>
      <c r="C52" t="s">
        <v>32</v>
      </c>
      <c r="D52" t="s">
        <v>55</v>
      </c>
      <c r="E52" s="2">
        <v>43981</v>
      </c>
      <c r="F52" t="s">
        <v>126</v>
      </c>
      <c r="H52" t="s">
        <v>17</v>
      </c>
    </row>
    <row r="53" spans="1:8" x14ac:dyDescent="0.3">
      <c r="A53" t="s">
        <v>127</v>
      </c>
      <c r="B53" t="s">
        <v>53</v>
      </c>
      <c r="C53" t="s">
        <v>64</v>
      </c>
      <c r="D53" t="s">
        <v>97</v>
      </c>
      <c r="E53" s="2">
        <v>44612</v>
      </c>
      <c r="F53">
        <v>93290</v>
      </c>
      <c r="G53">
        <v>53</v>
      </c>
      <c r="H53" t="s">
        <v>17</v>
      </c>
    </row>
    <row r="54" spans="1:8" x14ac:dyDescent="0.3">
      <c r="A54" t="s">
        <v>128</v>
      </c>
      <c r="B54" t="s">
        <v>14</v>
      </c>
      <c r="C54" t="s">
        <v>64</v>
      </c>
      <c r="D54" t="s">
        <v>33</v>
      </c>
      <c r="E54" s="2">
        <v>42628</v>
      </c>
      <c r="F54">
        <v>115527</v>
      </c>
      <c r="G54">
        <v>63</v>
      </c>
      <c r="H54" t="s">
        <v>116</v>
      </c>
    </row>
    <row r="55" spans="1:8" x14ac:dyDescent="0.3">
      <c r="A55" t="s">
        <v>129</v>
      </c>
      <c r="B55" t="s">
        <v>28</v>
      </c>
      <c r="C55" t="s">
        <v>41</v>
      </c>
      <c r="D55" t="s">
        <v>76</v>
      </c>
      <c r="E55" t="s">
        <v>130</v>
      </c>
      <c r="F55">
        <v>55920</v>
      </c>
      <c r="G55">
        <v>84</v>
      </c>
      <c r="H55" t="s">
        <v>51</v>
      </c>
    </row>
    <row r="56" spans="1:8" x14ac:dyDescent="0.3">
      <c r="A56" t="s">
        <v>131</v>
      </c>
      <c r="B56" t="s">
        <v>9</v>
      </c>
      <c r="C56" t="s">
        <v>32</v>
      </c>
      <c r="D56" t="s">
        <v>44</v>
      </c>
      <c r="E56" s="2">
        <v>43464</v>
      </c>
      <c r="F56">
        <v>80189</v>
      </c>
      <c r="G56">
        <v>30</v>
      </c>
      <c r="H56" t="s">
        <v>45</v>
      </c>
    </row>
    <row r="57" spans="1:8" x14ac:dyDescent="0.3">
      <c r="A57" t="s">
        <v>132</v>
      </c>
      <c r="B57" t="s">
        <v>9</v>
      </c>
      <c r="C57" t="s">
        <v>133</v>
      </c>
      <c r="D57" t="s">
        <v>97</v>
      </c>
      <c r="E57" s="2">
        <v>44189</v>
      </c>
      <c r="F57">
        <v>118947</v>
      </c>
      <c r="G57">
        <v>96</v>
      </c>
      <c r="H57" t="s">
        <v>12</v>
      </c>
    </row>
    <row r="58" spans="1:8" x14ac:dyDescent="0.3">
      <c r="A58" t="s">
        <v>134</v>
      </c>
      <c r="B58" t="s">
        <v>53</v>
      </c>
      <c r="C58" t="s">
        <v>135</v>
      </c>
      <c r="D58" t="s">
        <v>11</v>
      </c>
      <c r="E58" s="2">
        <v>45112</v>
      </c>
      <c r="G58">
        <v>54</v>
      </c>
      <c r="H58" t="s">
        <v>51</v>
      </c>
    </row>
    <row r="59" spans="1:8" x14ac:dyDescent="0.3">
      <c r="A59" t="s">
        <v>136</v>
      </c>
      <c r="B59" t="s">
        <v>28</v>
      </c>
      <c r="C59" t="s">
        <v>133</v>
      </c>
      <c r="D59" t="s">
        <v>37</v>
      </c>
      <c r="E59" s="2">
        <v>44148</v>
      </c>
      <c r="G59">
        <v>75</v>
      </c>
      <c r="H59" t="s">
        <v>51</v>
      </c>
    </row>
    <row r="60" spans="1:8" x14ac:dyDescent="0.3">
      <c r="A60" t="s">
        <v>137</v>
      </c>
      <c r="B60" t="s">
        <v>113</v>
      </c>
      <c r="C60" t="s">
        <v>25</v>
      </c>
      <c r="D60" t="s">
        <v>138</v>
      </c>
      <c r="E60" t="s">
        <v>139</v>
      </c>
      <c r="F60">
        <v>91655</v>
      </c>
      <c r="G60">
        <v>95</v>
      </c>
      <c r="H60" t="s">
        <v>45</v>
      </c>
    </row>
    <row r="61" spans="1:8" x14ac:dyDescent="0.3">
      <c r="A61" t="s">
        <v>140</v>
      </c>
      <c r="B61" t="s">
        <v>9</v>
      </c>
      <c r="C61" t="s">
        <v>10</v>
      </c>
      <c r="D61" t="s">
        <v>11</v>
      </c>
      <c r="E61" s="2">
        <v>45255</v>
      </c>
      <c r="F61">
        <v>49435</v>
      </c>
      <c r="H61" t="s">
        <v>108</v>
      </c>
    </row>
    <row r="62" spans="1:8" x14ac:dyDescent="0.3">
      <c r="A62" t="s">
        <v>141</v>
      </c>
      <c r="B62" t="s">
        <v>9</v>
      </c>
      <c r="C62" t="s">
        <v>36</v>
      </c>
      <c r="D62" t="s">
        <v>48</v>
      </c>
      <c r="E62" s="2">
        <v>45217</v>
      </c>
      <c r="F62">
        <v>110381</v>
      </c>
      <c r="G62">
        <v>93</v>
      </c>
      <c r="H62" t="s">
        <v>45</v>
      </c>
    </row>
    <row r="63" spans="1:8" x14ac:dyDescent="0.3">
      <c r="A63" t="s">
        <v>142</v>
      </c>
      <c r="B63" t="s">
        <v>43</v>
      </c>
      <c r="C63" t="s">
        <v>135</v>
      </c>
      <c r="D63" t="s">
        <v>97</v>
      </c>
      <c r="E63" s="2">
        <v>44079</v>
      </c>
      <c r="F63">
        <v>114748</v>
      </c>
      <c r="G63">
        <v>33</v>
      </c>
      <c r="H63" t="s">
        <v>12</v>
      </c>
    </row>
    <row r="64" spans="1:8" x14ac:dyDescent="0.3">
      <c r="A64" t="s">
        <v>143</v>
      </c>
      <c r="B64" t="s">
        <v>59</v>
      </c>
      <c r="C64" t="s">
        <v>32</v>
      </c>
      <c r="D64" t="s">
        <v>33</v>
      </c>
      <c r="E64" s="2">
        <v>42800</v>
      </c>
      <c r="F64">
        <v>63302</v>
      </c>
      <c r="G64">
        <v>91</v>
      </c>
      <c r="H64" t="s">
        <v>12</v>
      </c>
    </row>
    <row r="65" spans="1:8" x14ac:dyDescent="0.3">
      <c r="A65" t="s">
        <v>144</v>
      </c>
      <c r="B65" t="s">
        <v>59</v>
      </c>
      <c r="C65" t="s">
        <v>47</v>
      </c>
      <c r="D65" t="s">
        <v>84</v>
      </c>
      <c r="E65" s="2">
        <v>42122</v>
      </c>
      <c r="F65" t="s">
        <v>145</v>
      </c>
      <c r="G65">
        <v>64</v>
      </c>
      <c r="H65" t="s">
        <v>12</v>
      </c>
    </row>
    <row r="66" spans="1:8" x14ac:dyDescent="0.3">
      <c r="A66" t="s">
        <v>146</v>
      </c>
      <c r="B66" t="s">
        <v>53</v>
      </c>
      <c r="C66" t="s">
        <v>64</v>
      </c>
      <c r="D66" t="s">
        <v>76</v>
      </c>
      <c r="E66" s="2">
        <v>42838</v>
      </c>
      <c r="F66">
        <v>103891</v>
      </c>
      <c r="G66">
        <v>80</v>
      </c>
      <c r="H66" t="s">
        <v>12</v>
      </c>
    </row>
    <row r="67" spans="1:8" x14ac:dyDescent="0.3">
      <c r="A67" t="s">
        <v>147</v>
      </c>
      <c r="B67" t="s">
        <v>28</v>
      </c>
      <c r="C67" t="s">
        <v>64</v>
      </c>
      <c r="D67" t="s">
        <v>33</v>
      </c>
      <c r="E67" s="2">
        <v>44827</v>
      </c>
      <c r="G67">
        <v>46</v>
      </c>
      <c r="H67" t="s">
        <v>22</v>
      </c>
    </row>
    <row r="68" spans="1:8" x14ac:dyDescent="0.3">
      <c r="A68" t="s">
        <v>148</v>
      </c>
      <c r="B68" t="s">
        <v>28</v>
      </c>
      <c r="C68" t="s">
        <v>60</v>
      </c>
      <c r="D68" t="s">
        <v>61</v>
      </c>
      <c r="E68" t="s">
        <v>149</v>
      </c>
      <c r="F68" t="s">
        <v>150</v>
      </c>
      <c r="G68">
        <v>99</v>
      </c>
      <c r="H68" t="s">
        <v>12</v>
      </c>
    </row>
    <row r="69" spans="1:8" x14ac:dyDescent="0.3">
      <c r="A69" t="s">
        <v>151</v>
      </c>
      <c r="B69" t="s">
        <v>43</v>
      </c>
      <c r="C69" t="s">
        <v>47</v>
      </c>
      <c r="D69" t="s">
        <v>79</v>
      </c>
      <c r="E69" t="s">
        <v>152</v>
      </c>
      <c r="F69" t="s">
        <v>153</v>
      </c>
      <c r="H69" t="s">
        <v>51</v>
      </c>
    </row>
    <row r="70" spans="1:8" x14ac:dyDescent="0.3">
      <c r="A70" t="s">
        <v>154</v>
      </c>
      <c r="B70" t="s">
        <v>14</v>
      </c>
      <c r="C70" t="s">
        <v>19</v>
      </c>
      <c r="D70" t="s">
        <v>97</v>
      </c>
      <c r="E70" t="s">
        <v>155</v>
      </c>
      <c r="F70">
        <v>51567</v>
      </c>
      <c r="G70">
        <v>87</v>
      </c>
      <c r="H70" t="s">
        <v>116</v>
      </c>
    </row>
    <row r="71" spans="1:8" x14ac:dyDescent="0.3">
      <c r="A71" t="s">
        <v>156</v>
      </c>
      <c r="B71" t="s">
        <v>105</v>
      </c>
      <c r="C71" t="s">
        <v>54</v>
      </c>
      <c r="D71" t="s">
        <v>157</v>
      </c>
      <c r="E71" s="2">
        <v>44402</v>
      </c>
      <c r="G71">
        <v>36</v>
      </c>
      <c r="H71" t="s">
        <v>45</v>
      </c>
    </row>
    <row r="72" spans="1:8" x14ac:dyDescent="0.3">
      <c r="A72" t="s">
        <v>158</v>
      </c>
      <c r="B72" t="s">
        <v>59</v>
      </c>
      <c r="C72" t="s">
        <v>47</v>
      </c>
      <c r="D72" t="s">
        <v>97</v>
      </c>
      <c r="E72" s="2">
        <v>43008</v>
      </c>
      <c r="F72">
        <v>55270</v>
      </c>
      <c r="G72">
        <v>87</v>
      </c>
      <c r="H72" t="s">
        <v>51</v>
      </c>
    </row>
    <row r="73" spans="1:8" x14ac:dyDescent="0.3">
      <c r="A73" t="s">
        <v>159</v>
      </c>
      <c r="B73" t="s">
        <v>160</v>
      </c>
      <c r="C73" t="s">
        <v>133</v>
      </c>
      <c r="D73" t="s">
        <v>44</v>
      </c>
      <c r="E73" s="2">
        <v>42192</v>
      </c>
      <c r="F73">
        <v>65235</v>
      </c>
      <c r="G73">
        <v>97</v>
      </c>
      <c r="H73" t="s">
        <v>17</v>
      </c>
    </row>
    <row r="74" spans="1:8" x14ac:dyDescent="0.3">
      <c r="A74" t="s">
        <v>161</v>
      </c>
      <c r="B74" t="s">
        <v>24</v>
      </c>
      <c r="C74" t="s">
        <v>19</v>
      </c>
      <c r="D74" t="s">
        <v>44</v>
      </c>
      <c r="E74" s="2">
        <v>43283</v>
      </c>
      <c r="G74">
        <v>72</v>
      </c>
      <c r="H74" t="s">
        <v>22</v>
      </c>
    </row>
    <row r="75" spans="1:8" x14ac:dyDescent="0.3">
      <c r="A75" t="s">
        <v>162</v>
      </c>
      <c r="B75" t="s">
        <v>66</v>
      </c>
      <c r="C75" t="s">
        <v>19</v>
      </c>
      <c r="D75" t="s">
        <v>48</v>
      </c>
      <c r="E75" s="2">
        <v>44819</v>
      </c>
      <c r="G75">
        <v>65</v>
      </c>
      <c r="H75" t="s">
        <v>22</v>
      </c>
    </row>
    <row r="76" spans="1:8" x14ac:dyDescent="0.3">
      <c r="A76" t="s">
        <v>143</v>
      </c>
      <c r="B76" t="s">
        <v>59</v>
      </c>
      <c r="C76" t="s">
        <v>32</v>
      </c>
      <c r="D76" t="s">
        <v>33</v>
      </c>
      <c r="E76" s="2">
        <v>42800</v>
      </c>
      <c r="F76">
        <v>63302</v>
      </c>
      <c r="G76">
        <v>91</v>
      </c>
      <c r="H76" t="s">
        <v>12</v>
      </c>
    </row>
    <row r="77" spans="1:8" x14ac:dyDescent="0.3">
      <c r="A77" t="s">
        <v>163</v>
      </c>
      <c r="B77" t="s">
        <v>53</v>
      </c>
      <c r="C77" t="s">
        <v>19</v>
      </c>
      <c r="D77" t="s">
        <v>79</v>
      </c>
      <c r="E77" s="2">
        <v>42249</v>
      </c>
      <c r="G77">
        <v>67</v>
      </c>
      <c r="H77" t="s">
        <v>51</v>
      </c>
    </row>
    <row r="78" spans="1:8" x14ac:dyDescent="0.3">
      <c r="A78" t="s">
        <v>164</v>
      </c>
      <c r="B78" t="s">
        <v>113</v>
      </c>
      <c r="C78" t="s">
        <v>36</v>
      </c>
      <c r="D78" t="s">
        <v>165</v>
      </c>
      <c r="E78" t="s">
        <v>166</v>
      </c>
      <c r="F78">
        <v>48823</v>
      </c>
      <c r="G78">
        <v>34</v>
      </c>
      <c r="H78" t="s">
        <v>17</v>
      </c>
    </row>
    <row r="79" spans="1:8" x14ac:dyDescent="0.3">
      <c r="A79" t="s">
        <v>167</v>
      </c>
      <c r="B79" t="s">
        <v>53</v>
      </c>
      <c r="C79" t="s">
        <v>19</v>
      </c>
      <c r="D79" t="s">
        <v>76</v>
      </c>
      <c r="E79" s="2">
        <v>43575</v>
      </c>
      <c r="F79">
        <v>45196</v>
      </c>
      <c r="G79">
        <v>78</v>
      </c>
      <c r="H79" t="s">
        <v>22</v>
      </c>
    </row>
    <row r="80" spans="1:8" x14ac:dyDescent="0.3">
      <c r="A80" t="s">
        <v>168</v>
      </c>
      <c r="B80" t="s">
        <v>53</v>
      </c>
      <c r="C80" t="s">
        <v>41</v>
      </c>
      <c r="D80" t="s">
        <v>11</v>
      </c>
      <c r="E80" t="s">
        <v>169</v>
      </c>
      <c r="F80" t="s">
        <v>170</v>
      </c>
      <c r="G80">
        <v>61</v>
      </c>
      <c r="H80" t="s">
        <v>51</v>
      </c>
    </row>
    <row r="81" spans="1:8" x14ac:dyDescent="0.3">
      <c r="A81" t="s">
        <v>171</v>
      </c>
      <c r="B81" t="s">
        <v>9</v>
      </c>
      <c r="C81" t="s">
        <v>47</v>
      </c>
      <c r="D81" t="s">
        <v>44</v>
      </c>
      <c r="E81" t="s">
        <v>172</v>
      </c>
      <c r="F81">
        <v>70359</v>
      </c>
      <c r="G81">
        <v>74</v>
      </c>
      <c r="H81" t="s">
        <v>30</v>
      </c>
    </row>
    <row r="82" spans="1:8" x14ac:dyDescent="0.3">
      <c r="A82" t="s">
        <v>173</v>
      </c>
      <c r="B82" t="s">
        <v>94</v>
      </c>
      <c r="C82" t="s">
        <v>47</v>
      </c>
      <c r="D82" t="s">
        <v>61</v>
      </c>
      <c r="E82" s="2">
        <v>43599</v>
      </c>
      <c r="G82">
        <v>94</v>
      </c>
      <c r="H82" t="s">
        <v>17</v>
      </c>
    </row>
    <row r="83" spans="1:8" x14ac:dyDescent="0.3">
      <c r="A83" t="s">
        <v>90</v>
      </c>
      <c r="B83" t="s">
        <v>28</v>
      </c>
      <c r="C83" t="s">
        <v>15</v>
      </c>
      <c r="D83" t="s">
        <v>33</v>
      </c>
      <c r="E83" t="s">
        <v>91</v>
      </c>
      <c r="F83">
        <v>97055</v>
      </c>
      <c r="G83">
        <v>80</v>
      </c>
      <c r="H83" t="s">
        <v>51</v>
      </c>
    </row>
    <row r="84" spans="1:8" x14ac:dyDescent="0.3">
      <c r="A84" t="s">
        <v>174</v>
      </c>
      <c r="B84" t="s">
        <v>39</v>
      </c>
      <c r="C84" t="s">
        <v>133</v>
      </c>
      <c r="D84" t="s">
        <v>37</v>
      </c>
      <c r="E84" s="2">
        <v>42330</v>
      </c>
      <c r="F84">
        <v>86480</v>
      </c>
      <c r="H84" t="s">
        <v>17</v>
      </c>
    </row>
    <row r="85" spans="1:8" x14ac:dyDescent="0.3">
      <c r="A85" t="s">
        <v>175</v>
      </c>
      <c r="B85" t="s">
        <v>14</v>
      </c>
      <c r="C85" t="s">
        <v>29</v>
      </c>
      <c r="D85" t="s">
        <v>138</v>
      </c>
      <c r="E85" t="s">
        <v>176</v>
      </c>
      <c r="F85" t="s">
        <v>177</v>
      </c>
      <c r="G85">
        <v>75</v>
      </c>
      <c r="H85" t="s">
        <v>17</v>
      </c>
    </row>
    <row r="86" spans="1:8" x14ac:dyDescent="0.3">
      <c r="A86" t="s">
        <v>178</v>
      </c>
      <c r="B86" t="s">
        <v>105</v>
      </c>
      <c r="C86" t="s">
        <v>36</v>
      </c>
      <c r="D86" t="s">
        <v>11</v>
      </c>
      <c r="E86" s="2">
        <v>45171</v>
      </c>
      <c r="F86">
        <v>83724</v>
      </c>
      <c r="G86">
        <v>81</v>
      </c>
      <c r="H86" t="s">
        <v>116</v>
      </c>
    </row>
    <row r="87" spans="1:8" x14ac:dyDescent="0.3">
      <c r="A87" t="s">
        <v>179</v>
      </c>
      <c r="B87" t="s">
        <v>28</v>
      </c>
      <c r="C87" t="s">
        <v>54</v>
      </c>
      <c r="D87" t="s">
        <v>76</v>
      </c>
      <c r="E87" s="2">
        <v>44759</v>
      </c>
      <c r="F87">
        <v>98299</v>
      </c>
      <c r="G87">
        <v>61</v>
      </c>
      <c r="H87" t="s">
        <v>51</v>
      </c>
    </row>
    <row r="88" spans="1:8" x14ac:dyDescent="0.3">
      <c r="A88" t="s">
        <v>180</v>
      </c>
      <c r="B88" t="s">
        <v>113</v>
      </c>
      <c r="C88" t="s">
        <v>54</v>
      </c>
      <c r="D88" t="s">
        <v>26</v>
      </c>
      <c r="E88" t="s">
        <v>181</v>
      </c>
      <c r="G88">
        <v>68</v>
      </c>
      <c r="H88" t="s">
        <v>51</v>
      </c>
    </row>
    <row r="89" spans="1:8" x14ac:dyDescent="0.3">
      <c r="A89" t="s">
        <v>182</v>
      </c>
      <c r="B89" t="s">
        <v>24</v>
      </c>
      <c r="C89" t="s">
        <v>32</v>
      </c>
      <c r="D89" t="s">
        <v>84</v>
      </c>
      <c r="E89" t="s">
        <v>183</v>
      </c>
      <c r="F89">
        <v>52287</v>
      </c>
      <c r="G89">
        <v>70</v>
      </c>
      <c r="H89" t="s">
        <v>12</v>
      </c>
    </row>
    <row r="90" spans="1:8" x14ac:dyDescent="0.3">
      <c r="A90" t="s">
        <v>184</v>
      </c>
      <c r="B90" t="s">
        <v>14</v>
      </c>
      <c r="C90" t="s">
        <v>19</v>
      </c>
      <c r="D90" t="s">
        <v>11</v>
      </c>
      <c r="E90" s="2">
        <v>44073</v>
      </c>
      <c r="F90">
        <v>82633</v>
      </c>
      <c r="G90">
        <v>98</v>
      </c>
      <c r="H90" t="s">
        <v>17</v>
      </c>
    </row>
    <row r="91" spans="1:8" x14ac:dyDescent="0.3">
      <c r="A91" t="s">
        <v>185</v>
      </c>
      <c r="B91" t="s">
        <v>105</v>
      </c>
      <c r="C91" t="s">
        <v>135</v>
      </c>
      <c r="D91" t="s">
        <v>37</v>
      </c>
      <c r="E91" s="2">
        <v>44422</v>
      </c>
      <c r="F91">
        <v>46508</v>
      </c>
      <c r="G91">
        <v>34</v>
      </c>
      <c r="H91" t="s">
        <v>45</v>
      </c>
    </row>
    <row r="92" spans="1:8" x14ac:dyDescent="0.3">
      <c r="A92" t="s">
        <v>186</v>
      </c>
      <c r="B92" t="s">
        <v>9</v>
      </c>
      <c r="C92" t="s">
        <v>19</v>
      </c>
      <c r="D92" t="s">
        <v>138</v>
      </c>
      <c r="E92" t="s">
        <v>187</v>
      </c>
      <c r="F92">
        <v>86232</v>
      </c>
      <c r="G92">
        <v>93</v>
      </c>
      <c r="H92" t="s">
        <v>45</v>
      </c>
    </row>
    <row r="93" spans="1:8" x14ac:dyDescent="0.3">
      <c r="A93" t="s">
        <v>188</v>
      </c>
      <c r="B93" t="s">
        <v>53</v>
      </c>
      <c r="C93" t="s">
        <v>64</v>
      </c>
      <c r="D93" t="s">
        <v>84</v>
      </c>
      <c r="E93" t="s">
        <v>189</v>
      </c>
      <c r="F93" t="s">
        <v>190</v>
      </c>
      <c r="G93">
        <v>48</v>
      </c>
      <c r="H93" t="s">
        <v>45</v>
      </c>
    </row>
    <row r="94" spans="1:8" x14ac:dyDescent="0.3">
      <c r="A94" t="s">
        <v>191</v>
      </c>
      <c r="B94" t="s">
        <v>160</v>
      </c>
      <c r="C94" t="s">
        <v>19</v>
      </c>
      <c r="D94" t="s">
        <v>37</v>
      </c>
      <c r="E94" s="2">
        <v>43436</v>
      </c>
      <c r="F94">
        <v>68683</v>
      </c>
      <c r="G94">
        <v>90</v>
      </c>
      <c r="H94" t="s">
        <v>51</v>
      </c>
    </row>
    <row r="95" spans="1:8" x14ac:dyDescent="0.3">
      <c r="A95" t="s">
        <v>192</v>
      </c>
      <c r="B95" t="s">
        <v>28</v>
      </c>
      <c r="C95" t="s">
        <v>60</v>
      </c>
      <c r="D95" t="s">
        <v>26</v>
      </c>
      <c r="E95" s="2">
        <v>43639</v>
      </c>
      <c r="F95">
        <v>83932</v>
      </c>
      <c r="G95">
        <v>57</v>
      </c>
      <c r="H95" t="s">
        <v>22</v>
      </c>
    </row>
    <row r="96" spans="1:8" x14ac:dyDescent="0.3">
      <c r="A96" t="s">
        <v>193</v>
      </c>
      <c r="B96" t="s">
        <v>39</v>
      </c>
      <c r="C96" t="s">
        <v>135</v>
      </c>
      <c r="D96" t="s">
        <v>97</v>
      </c>
      <c r="E96" s="2">
        <v>42304</v>
      </c>
      <c r="F96">
        <v>56073</v>
      </c>
      <c r="G96">
        <v>79</v>
      </c>
      <c r="H96" t="s">
        <v>45</v>
      </c>
    </row>
    <row r="97" spans="1:8" x14ac:dyDescent="0.3">
      <c r="A97" t="s">
        <v>194</v>
      </c>
      <c r="B97" t="s">
        <v>105</v>
      </c>
      <c r="C97" t="s">
        <v>32</v>
      </c>
      <c r="D97" t="s">
        <v>20</v>
      </c>
      <c r="E97" s="2">
        <v>43270</v>
      </c>
      <c r="F97" t="s">
        <v>195</v>
      </c>
      <c r="G97">
        <v>66</v>
      </c>
      <c r="H97" t="s">
        <v>51</v>
      </c>
    </row>
    <row r="98" spans="1:8" x14ac:dyDescent="0.3">
      <c r="A98" t="s">
        <v>196</v>
      </c>
      <c r="B98" t="s">
        <v>28</v>
      </c>
      <c r="C98" t="s">
        <v>47</v>
      </c>
      <c r="D98" t="s">
        <v>165</v>
      </c>
      <c r="E98" s="2">
        <v>43112</v>
      </c>
      <c r="F98">
        <v>67414</v>
      </c>
      <c r="G98">
        <v>84</v>
      </c>
      <c r="H98" t="s">
        <v>30</v>
      </c>
    </row>
    <row r="99" spans="1:8" x14ac:dyDescent="0.3">
      <c r="A99" t="s">
        <v>197</v>
      </c>
      <c r="B99" t="s">
        <v>160</v>
      </c>
      <c r="C99" t="s">
        <v>19</v>
      </c>
      <c r="D99" t="s">
        <v>44</v>
      </c>
      <c r="E99" s="2">
        <v>42008</v>
      </c>
      <c r="F99" t="s">
        <v>198</v>
      </c>
      <c r="G99">
        <v>61</v>
      </c>
      <c r="H99" t="s">
        <v>51</v>
      </c>
    </row>
    <row r="100" spans="1:8" x14ac:dyDescent="0.3">
      <c r="A100" t="s">
        <v>199</v>
      </c>
      <c r="C100" t="s">
        <v>29</v>
      </c>
      <c r="D100" t="s">
        <v>44</v>
      </c>
      <c r="E100" s="2">
        <v>43439</v>
      </c>
      <c r="F100">
        <v>80140</v>
      </c>
      <c r="G100">
        <v>58</v>
      </c>
      <c r="H100" t="s">
        <v>45</v>
      </c>
    </row>
    <row r="101" spans="1:8" x14ac:dyDescent="0.3">
      <c r="A101" t="s">
        <v>200</v>
      </c>
      <c r="B101" t="s">
        <v>24</v>
      </c>
      <c r="C101" t="s">
        <v>32</v>
      </c>
      <c r="D101" t="s">
        <v>11</v>
      </c>
      <c r="E101" s="2">
        <v>44482</v>
      </c>
      <c r="F101">
        <v>73087</v>
      </c>
      <c r="G101">
        <v>69</v>
      </c>
      <c r="H101" t="s">
        <v>51</v>
      </c>
    </row>
    <row r="102" spans="1:8" x14ac:dyDescent="0.3">
      <c r="A102" t="s">
        <v>201</v>
      </c>
      <c r="B102" t="s">
        <v>53</v>
      </c>
      <c r="C102" t="s">
        <v>32</v>
      </c>
      <c r="D102" t="s">
        <v>79</v>
      </c>
      <c r="E102" s="2">
        <v>44081</v>
      </c>
      <c r="F102">
        <v>95292</v>
      </c>
      <c r="G102">
        <v>34</v>
      </c>
      <c r="H102" t="s">
        <v>12</v>
      </c>
    </row>
    <row r="103" spans="1:8" x14ac:dyDescent="0.3">
      <c r="A103" t="s">
        <v>202</v>
      </c>
      <c r="B103" t="s">
        <v>24</v>
      </c>
      <c r="C103" t="s">
        <v>60</v>
      </c>
      <c r="D103" t="s">
        <v>20</v>
      </c>
      <c r="E103" t="s">
        <v>203</v>
      </c>
      <c r="G103">
        <v>33</v>
      </c>
      <c r="H103" t="s">
        <v>12</v>
      </c>
    </row>
    <row r="104" spans="1:8" x14ac:dyDescent="0.3">
      <c r="A104" t="s">
        <v>204</v>
      </c>
      <c r="B104" t="s">
        <v>53</v>
      </c>
      <c r="C104" t="s">
        <v>69</v>
      </c>
      <c r="D104" t="s">
        <v>16</v>
      </c>
      <c r="E104" t="s">
        <v>205</v>
      </c>
      <c r="F104">
        <v>101750</v>
      </c>
      <c r="G104">
        <v>84</v>
      </c>
      <c r="H104" t="s">
        <v>108</v>
      </c>
    </row>
    <row r="105" spans="1:8" x14ac:dyDescent="0.3">
      <c r="A105" t="s">
        <v>206</v>
      </c>
      <c r="B105" t="s">
        <v>105</v>
      </c>
      <c r="C105" t="s">
        <v>19</v>
      </c>
      <c r="D105" t="s">
        <v>55</v>
      </c>
      <c r="E105" t="s">
        <v>207</v>
      </c>
      <c r="F105">
        <v>82992</v>
      </c>
      <c r="G105">
        <v>79</v>
      </c>
      <c r="H105" t="s">
        <v>51</v>
      </c>
    </row>
    <row r="106" spans="1:8" x14ac:dyDescent="0.3">
      <c r="A106" t="s">
        <v>208</v>
      </c>
      <c r="B106" t="s">
        <v>160</v>
      </c>
      <c r="C106" t="s">
        <v>64</v>
      </c>
      <c r="D106" t="s">
        <v>11</v>
      </c>
      <c r="E106" s="2">
        <v>45055</v>
      </c>
      <c r="F106" t="s">
        <v>209</v>
      </c>
      <c r="G106">
        <v>51</v>
      </c>
      <c r="H106" t="s">
        <v>12</v>
      </c>
    </row>
    <row r="107" spans="1:8" x14ac:dyDescent="0.3">
      <c r="A107" t="s">
        <v>210</v>
      </c>
      <c r="B107" t="s">
        <v>24</v>
      </c>
      <c r="C107" t="s">
        <v>29</v>
      </c>
      <c r="D107" t="s">
        <v>37</v>
      </c>
      <c r="E107" s="2">
        <v>43122</v>
      </c>
      <c r="F107">
        <v>89060</v>
      </c>
      <c r="G107">
        <v>58</v>
      </c>
      <c r="H107" t="s">
        <v>12</v>
      </c>
    </row>
    <row r="108" spans="1:8" x14ac:dyDescent="0.3">
      <c r="A108" t="s">
        <v>211</v>
      </c>
      <c r="B108" t="s">
        <v>66</v>
      </c>
      <c r="C108" t="s">
        <v>19</v>
      </c>
      <c r="D108" t="s">
        <v>11</v>
      </c>
      <c r="E108" s="2">
        <v>43879</v>
      </c>
      <c r="F108">
        <v>53786</v>
      </c>
      <c r="G108">
        <v>98</v>
      </c>
      <c r="H108" t="s">
        <v>45</v>
      </c>
    </row>
    <row r="109" spans="1:8" x14ac:dyDescent="0.3">
      <c r="A109" t="s">
        <v>212</v>
      </c>
      <c r="B109" t="s">
        <v>9</v>
      </c>
      <c r="C109" t="s">
        <v>32</v>
      </c>
      <c r="D109" t="s">
        <v>33</v>
      </c>
      <c r="E109" t="s">
        <v>213</v>
      </c>
      <c r="F109">
        <v>81167</v>
      </c>
      <c r="H109" t="s">
        <v>45</v>
      </c>
    </row>
    <row r="110" spans="1:8" x14ac:dyDescent="0.3">
      <c r="A110" t="s">
        <v>214</v>
      </c>
      <c r="B110" t="s">
        <v>160</v>
      </c>
      <c r="C110" t="s">
        <v>54</v>
      </c>
      <c r="D110" t="s">
        <v>16</v>
      </c>
      <c r="E110" s="2">
        <v>44349</v>
      </c>
      <c r="F110">
        <v>66688</v>
      </c>
      <c r="G110">
        <v>40</v>
      </c>
      <c r="H110" t="s">
        <v>108</v>
      </c>
    </row>
    <row r="111" spans="1:8" x14ac:dyDescent="0.3">
      <c r="A111" t="s">
        <v>215</v>
      </c>
      <c r="B111" t="s">
        <v>66</v>
      </c>
      <c r="C111" t="s">
        <v>60</v>
      </c>
      <c r="D111" t="s">
        <v>11</v>
      </c>
      <c r="E111" s="2">
        <v>44394</v>
      </c>
      <c r="F111">
        <v>91672</v>
      </c>
      <c r="G111">
        <v>88</v>
      </c>
      <c r="H111" t="s">
        <v>17</v>
      </c>
    </row>
    <row r="112" spans="1:8" x14ac:dyDescent="0.3">
      <c r="A112" t="s">
        <v>216</v>
      </c>
      <c r="B112" t="s">
        <v>39</v>
      </c>
      <c r="C112" t="s">
        <v>19</v>
      </c>
      <c r="D112" t="s">
        <v>157</v>
      </c>
      <c r="E112" t="s">
        <v>217</v>
      </c>
      <c r="F112" t="s">
        <v>218</v>
      </c>
      <c r="G112">
        <v>77</v>
      </c>
      <c r="H112" t="s">
        <v>12</v>
      </c>
    </row>
    <row r="113" spans="1:8" x14ac:dyDescent="0.3">
      <c r="A113" t="s">
        <v>219</v>
      </c>
      <c r="B113" t="s">
        <v>94</v>
      </c>
      <c r="C113" t="s">
        <v>47</v>
      </c>
      <c r="D113" t="s">
        <v>79</v>
      </c>
      <c r="E113" s="2">
        <v>43513</v>
      </c>
      <c r="F113" t="s">
        <v>220</v>
      </c>
      <c r="G113">
        <v>91</v>
      </c>
      <c r="H113" t="s">
        <v>12</v>
      </c>
    </row>
    <row r="114" spans="1:8" x14ac:dyDescent="0.3">
      <c r="A114" t="s">
        <v>221</v>
      </c>
      <c r="B114" t="s">
        <v>39</v>
      </c>
      <c r="C114" t="s">
        <v>29</v>
      </c>
      <c r="D114" t="s">
        <v>44</v>
      </c>
      <c r="E114" s="2">
        <v>42625</v>
      </c>
      <c r="F114">
        <v>114681</v>
      </c>
      <c r="G114">
        <v>36</v>
      </c>
      <c r="H114" t="s">
        <v>17</v>
      </c>
    </row>
    <row r="115" spans="1:8" x14ac:dyDescent="0.3">
      <c r="A115" t="s">
        <v>222</v>
      </c>
      <c r="B115" t="s">
        <v>28</v>
      </c>
      <c r="C115" t="s">
        <v>60</v>
      </c>
      <c r="D115" t="s">
        <v>37</v>
      </c>
      <c r="E115" t="s">
        <v>223</v>
      </c>
      <c r="F115" t="s">
        <v>224</v>
      </c>
      <c r="G115">
        <v>72</v>
      </c>
      <c r="H115" t="s">
        <v>45</v>
      </c>
    </row>
    <row r="116" spans="1:8" x14ac:dyDescent="0.3">
      <c r="A116" t="s">
        <v>225</v>
      </c>
      <c r="B116" t="s">
        <v>71</v>
      </c>
      <c r="C116" t="s">
        <v>10</v>
      </c>
      <c r="D116" t="s">
        <v>16</v>
      </c>
      <c r="E116" s="2">
        <v>43996</v>
      </c>
      <c r="F116" t="s">
        <v>226</v>
      </c>
      <c r="G116">
        <v>87</v>
      </c>
      <c r="H116" t="s">
        <v>12</v>
      </c>
    </row>
    <row r="117" spans="1:8" x14ac:dyDescent="0.3">
      <c r="A117" t="s">
        <v>227</v>
      </c>
      <c r="B117" t="s">
        <v>59</v>
      </c>
      <c r="C117" t="s">
        <v>25</v>
      </c>
      <c r="D117" t="s">
        <v>20</v>
      </c>
      <c r="E117" t="s">
        <v>228</v>
      </c>
      <c r="F117">
        <v>118008</v>
      </c>
      <c r="G117">
        <v>71</v>
      </c>
      <c r="H117" t="s">
        <v>12</v>
      </c>
    </row>
    <row r="118" spans="1:8" x14ac:dyDescent="0.3">
      <c r="A118" t="s">
        <v>229</v>
      </c>
      <c r="B118" t="s">
        <v>28</v>
      </c>
      <c r="C118" t="s">
        <v>47</v>
      </c>
      <c r="D118" t="s">
        <v>11</v>
      </c>
      <c r="E118" t="s">
        <v>230</v>
      </c>
      <c r="F118">
        <v>74370</v>
      </c>
      <c r="G118">
        <v>82</v>
      </c>
      <c r="H118" t="s">
        <v>51</v>
      </c>
    </row>
    <row r="119" spans="1:8" x14ac:dyDescent="0.3">
      <c r="A119" t="s">
        <v>231</v>
      </c>
      <c r="B119" t="s">
        <v>113</v>
      </c>
      <c r="C119" t="s">
        <v>41</v>
      </c>
      <c r="D119" t="s">
        <v>20</v>
      </c>
      <c r="E119" s="2">
        <v>44674</v>
      </c>
      <c r="F119">
        <v>77819</v>
      </c>
      <c r="G119">
        <v>79</v>
      </c>
      <c r="H119" t="s">
        <v>17</v>
      </c>
    </row>
    <row r="120" spans="1:8" x14ac:dyDescent="0.3">
      <c r="A120" t="s">
        <v>232</v>
      </c>
      <c r="B120" t="s">
        <v>53</v>
      </c>
      <c r="C120" t="s">
        <v>47</v>
      </c>
      <c r="D120" t="s">
        <v>61</v>
      </c>
      <c r="E120" t="s">
        <v>233</v>
      </c>
      <c r="F120">
        <v>48748</v>
      </c>
      <c r="G120">
        <v>83</v>
      </c>
      <c r="H120" t="s">
        <v>51</v>
      </c>
    </row>
    <row r="121" spans="1:8" x14ac:dyDescent="0.3">
      <c r="A121" t="s">
        <v>234</v>
      </c>
      <c r="B121" t="s">
        <v>66</v>
      </c>
      <c r="C121" t="s">
        <v>41</v>
      </c>
      <c r="D121" t="s">
        <v>33</v>
      </c>
      <c r="E121" s="2">
        <v>43971</v>
      </c>
      <c r="F121">
        <v>101997</v>
      </c>
      <c r="G121">
        <v>38</v>
      </c>
      <c r="H121" t="s">
        <v>116</v>
      </c>
    </row>
    <row r="122" spans="1:8" x14ac:dyDescent="0.3">
      <c r="A122" t="s">
        <v>235</v>
      </c>
      <c r="B122" t="s">
        <v>94</v>
      </c>
      <c r="C122" t="s">
        <v>41</v>
      </c>
      <c r="D122" t="s">
        <v>97</v>
      </c>
      <c r="E122" t="s">
        <v>236</v>
      </c>
      <c r="F122">
        <v>115260</v>
      </c>
      <c r="G122">
        <v>77</v>
      </c>
      <c r="H122" t="s">
        <v>51</v>
      </c>
    </row>
    <row r="123" spans="1:8" x14ac:dyDescent="0.3">
      <c r="A123" t="s">
        <v>237</v>
      </c>
      <c r="B123" t="s">
        <v>94</v>
      </c>
      <c r="C123" t="s">
        <v>36</v>
      </c>
      <c r="D123" t="s">
        <v>44</v>
      </c>
      <c r="E123" s="2">
        <v>44500</v>
      </c>
      <c r="G123">
        <v>49</v>
      </c>
      <c r="H123" t="s">
        <v>12</v>
      </c>
    </row>
    <row r="124" spans="1:8" x14ac:dyDescent="0.3">
      <c r="A124" t="s">
        <v>238</v>
      </c>
      <c r="B124" t="s">
        <v>105</v>
      </c>
      <c r="C124" t="s">
        <v>10</v>
      </c>
      <c r="D124" t="s">
        <v>20</v>
      </c>
      <c r="E124" t="s">
        <v>239</v>
      </c>
      <c r="G124">
        <v>69</v>
      </c>
      <c r="H124" t="s">
        <v>108</v>
      </c>
    </row>
    <row r="125" spans="1:8" x14ac:dyDescent="0.3">
      <c r="A125" t="s">
        <v>240</v>
      </c>
      <c r="B125" t="s">
        <v>59</v>
      </c>
      <c r="C125" t="s">
        <v>54</v>
      </c>
      <c r="D125" t="s">
        <v>44</v>
      </c>
      <c r="E125" s="2">
        <v>42956</v>
      </c>
      <c r="G125">
        <v>76</v>
      </c>
      <c r="H125" t="s">
        <v>12</v>
      </c>
    </row>
    <row r="126" spans="1:8" x14ac:dyDescent="0.3">
      <c r="A126" t="s">
        <v>241</v>
      </c>
      <c r="B126" t="s">
        <v>105</v>
      </c>
      <c r="C126" t="s">
        <v>41</v>
      </c>
      <c r="D126" t="s">
        <v>165</v>
      </c>
      <c r="E126" s="2">
        <v>44930</v>
      </c>
      <c r="F126">
        <v>60623</v>
      </c>
      <c r="G126">
        <v>78</v>
      </c>
      <c r="H126" t="s">
        <v>45</v>
      </c>
    </row>
    <row r="127" spans="1:8" x14ac:dyDescent="0.3">
      <c r="A127" t="s">
        <v>242</v>
      </c>
      <c r="B127" t="s">
        <v>66</v>
      </c>
      <c r="C127" t="s">
        <v>32</v>
      </c>
      <c r="D127" t="s">
        <v>157</v>
      </c>
      <c r="E127" t="s">
        <v>243</v>
      </c>
      <c r="F127" t="s">
        <v>244</v>
      </c>
      <c r="G127">
        <v>93</v>
      </c>
      <c r="H127" t="s">
        <v>12</v>
      </c>
    </row>
    <row r="128" spans="1:8" x14ac:dyDescent="0.3">
      <c r="A128" t="s">
        <v>245</v>
      </c>
      <c r="B128" t="s">
        <v>43</v>
      </c>
      <c r="C128" t="s">
        <v>36</v>
      </c>
      <c r="D128" t="s">
        <v>16</v>
      </c>
      <c r="E128" s="2">
        <v>44653</v>
      </c>
      <c r="F128">
        <v>88155</v>
      </c>
      <c r="G128">
        <v>68</v>
      </c>
      <c r="H128" t="s">
        <v>45</v>
      </c>
    </row>
    <row r="129" spans="1:8" x14ac:dyDescent="0.3">
      <c r="A129" t="s">
        <v>246</v>
      </c>
      <c r="B129" t="s">
        <v>160</v>
      </c>
      <c r="C129" t="s">
        <v>60</v>
      </c>
      <c r="D129" t="s">
        <v>16</v>
      </c>
      <c r="E129" t="s">
        <v>247</v>
      </c>
      <c r="F129">
        <v>107903</v>
      </c>
      <c r="G129">
        <v>42</v>
      </c>
      <c r="H129" t="s">
        <v>17</v>
      </c>
    </row>
    <row r="130" spans="1:8" x14ac:dyDescent="0.3">
      <c r="A130" t="s">
        <v>248</v>
      </c>
      <c r="B130" t="s">
        <v>160</v>
      </c>
      <c r="C130" t="s">
        <v>54</v>
      </c>
      <c r="D130" t="s">
        <v>11</v>
      </c>
      <c r="E130" s="2">
        <v>43305</v>
      </c>
      <c r="F130">
        <v>62818</v>
      </c>
      <c r="G130">
        <v>34</v>
      </c>
      <c r="H130" t="s">
        <v>17</v>
      </c>
    </row>
    <row r="131" spans="1:8" x14ac:dyDescent="0.3">
      <c r="A131" t="s">
        <v>249</v>
      </c>
      <c r="B131" t="s">
        <v>113</v>
      </c>
      <c r="C131" t="s">
        <v>54</v>
      </c>
      <c r="D131" t="s">
        <v>157</v>
      </c>
      <c r="E131" s="2">
        <v>43301</v>
      </c>
      <c r="F131">
        <v>85151</v>
      </c>
      <c r="G131">
        <v>35</v>
      </c>
      <c r="H131" t="s">
        <v>17</v>
      </c>
    </row>
    <row r="132" spans="1:8" x14ac:dyDescent="0.3">
      <c r="A132" t="s">
        <v>250</v>
      </c>
      <c r="B132" t="s">
        <v>53</v>
      </c>
      <c r="C132" t="s">
        <v>64</v>
      </c>
      <c r="D132" t="s">
        <v>76</v>
      </c>
      <c r="E132" t="s">
        <v>251</v>
      </c>
      <c r="F132">
        <v>46390</v>
      </c>
      <c r="G132">
        <v>95</v>
      </c>
      <c r="H132" t="s">
        <v>51</v>
      </c>
    </row>
    <row r="133" spans="1:8" x14ac:dyDescent="0.3">
      <c r="A133" t="s">
        <v>174</v>
      </c>
      <c r="B133" t="s">
        <v>39</v>
      </c>
      <c r="C133" t="s">
        <v>133</v>
      </c>
      <c r="D133" t="s">
        <v>37</v>
      </c>
      <c r="E133" s="2">
        <v>42330</v>
      </c>
      <c r="F133">
        <v>86480</v>
      </c>
      <c r="H133" t="s">
        <v>17</v>
      </c>
    </row>
    <row r="134" spans="1:8" x14ac:dyDescent="0.3">
      <c r="A134" t="s">
        <v>252</v>
      </c>
      <c r="B134" t="s">
        <v>24</v>
      </c>
      <c r="C134" t="s">
        <v>25</v>
      </c>
      <c r="D134" t="s">
        <v>157</v>
      </c>
      <c r="E134" s="2">
        <v>44643</v>
      </c>
      <c r="F134">
        <v>111920</v>
      </c>
      <c r="G134">
        <v>90</v>
      </c>
      <c r="H134" t="s">
        <v>22</v>
      </c>
    </row>
    <row r="135" spans="1:8" x14ac:dyDescent="0.3">
      <c r="A135" t="s">
        <v>253</v>
      </c>
      <c r="B135" t="s">
        <v>113</v>
      </c>
      <c r="C135" t="s">
        <v>135</v>
      </c>
      <c r="D135" t="s">
        <v>138</v>
      </c>
      <c r="E135" t="s">
        <v>254</v>
      </c>
      <c r="F135" t="s">
        <v>255</v>
      </c>
      <c r="G135">
        <v>42</v>
      </c>
      <c r="H135" t="s">
        <v>17</v>
      </c>
    </row>
    <row r="136" spans="1:8" x14ac:dyDescent="0.3">
      <c r="A136" t="s">
        <v>256</v>
      </c>
      <c r="B136" t="s">
        <v>94</v>
      </c>
      <c r="C136" t="s">
        <v>29</v>
      </c>
      <c r="D136" t="s">
        <v>44</v>
      </c>
      <c r="E136" t="s">
        <v>257</v>
      </c>
      <c r="F136" t="s">
        <v>258</v>
      </c>
      <c r="G136">
        <v>88</v>
      </c>
      <c r="H136" t="s">
        <v>116</v>
      </c>
    </row>
    <row r="137" spans="1:8" x14ac:dyDescent="0.3">
      <c r="A137" t="s">
        <v>259</v>
      </c>
      <c r="B137" t="s">
        <v>105</v>
      </c>
      <c r="C137" t="s">
        <v>15</v>
      </c>
      <c r="D137" t="s">
        <v>37</v>
      </c>
      <c r="E137" t="s">
        <v>260</v>
      </c>
      <c r="F137">
        <v>108395</v>
      </c>
      <c r="G137">
        <v>78</v>
      </c>
      <c r="H137" t="s">
        <v>30</v>
      </c>
    </row>
    <row r="138" spans="1:8" x14ac:dyDescent="0.3">
      <c r="A138" t="s">
        <v>261</v>
      </c>
      <c r="B138" t="s">
        <v>105</v>
      </c>
      <c r="C138" t="s">
        <v>32</v>
      </c>
      <c r="D138" t="s">
        <v>26</v>
      </c>
      <c r="E138" s="2">
        <v>43091</v>
      </c>
      <c r="F138">
        <v>88005</v>
      </c>
      <c r="G138">
        <v>69</v>
      </c>
      <c r="H138" t="s">
        <v>51</v>
      </c>
    </row>
    <row r="139" spans="1:8" x14ac:dyDescent="0.3">
      <c r="A139" t="s">
        <v>86</v>
      </c>
      <c r="B139" t="s">
        <v>43</v>
      </c>
      <c r="C139" t="s">
        <v>36</v>
      </c>
      <c r="D139" t="s">
        <v>87</v>
      </c>
      <c r="E139" t="s">
        <v>88</v>
      </c>
      <c r="F139">
        <v>85312</v>
      </c>
      <c r="G139">
        <v>66</v>
      </c>
      <c r="H139" t="s">
        <v>12</v>
      </c>
    </row>
    <row r="140" spans="1:8" x14ac:dyDescent="0.3">
      <c r="A140" t="s">
        <v>262</v>
      </c>
      <c r="B140" t="s">
        <v>53</v>
      </c>
      <c r="C140" t="s">
        <v>133</v>
      </c>
      <c r="D140" t="s">
        <v>61</v>
      </c>
      <c r="E140" t="s">
        <v>263</v>
      </c>
      <c r="F140">
        <v>83007</v>
      </c>
      <c r="G140">
        <v>82</v>
      </c>
      <c r="H140" t="s">
        <v>45</v>
      </c>
    </row>
    <row r="141" spans="1:8" x14ac:dyDescent="0.3">
      <c r="A141" t="s">
        <v>264</v>
      </c>
      <c r="B141" t="s">
        <v>113</v>
      </c>
      <c r="C141" t="s">
        <v>64</v>
      </c>
      <c r="D141" t="s">
        <v>11</v>
      </c>
      <c r="E141" s="2">
        <v>43360</v>
      </c>
      <c r="F141" t="s">
        <v>265</v>
      </c>
      <c r="G141">
        <v>68</v>
      </c>
      <c r="H141" t="s">
        <v>17</v>
      </c>
    </row>
    <row r="142" spans="1:8" x14ac:dyDescent="0.3">
      <c r="A142" t="s">
        <v>266</v>
      </c>
      <c r="B142" t="s">
        <v>66</v>
      </c>
      <c r="C142" t="s">
        <v>36</v>
      </c>
      <c r="D142" t="s">
        <v>48</v>
      </c>
      <c r="E142" s="2">
        <v>44375</v>
      </c>
      <c r="G142">
        <v>52</v>
      </c>
      <c r="H142" t="s">
        <v>45</v>
      </c>
    </row>
    <row r="143" spans="1:8" x14ac:dyDescent="0.3">
      <c r="A143" t="s">
        <v>267</v>
      </c>
      <c r="B143" t="s">
        <v>14</v>
      </c>
      <c r="C143" t="s">
        <v>32</v>
      </c>
      <c r="D143" t="s">
        <v>33</v>
      </c>
      <c r="E143" t="s">
        <v>268</v>
      </c>
      <c r="F143">
        <v>50399</v>
      </c>
      <c r="G143">
        <v>92</v>
      </c>
      <c r="H143" t="s">
        <v>108</v>
      </c>
    </row>
    <row r="144" spans="1:8" x14ac:dyDescent="0.3">
      <c r="A144" t="s">
        <v>269</v>
      </c>
      <c r="B144" t="s">
        <v>14</v>
      </c>
      <c r="C144" t="s">
        <v>54</v>
      </c>
      <c r="D144" t="s">
        <v>26</v>
      </c>
      <c r="E144" t="s">
        <v>270</v>
      </c>
      <c r="G144">
        <v>62</v>
      </c>
      <c r="H144" t="s">
        <v>17</v>
      </c>
    </row>
    <row r="145" spans="1:8" x14ac:dyDescent="0.3">
      <c r="A145" t="s">
        <v>271</v>
      </c>
      <c r="B145" t="s">
        <v>24</v>
      </c>
      <c r="C145" t="s">
        <v>15</v>
      </c>
      <c r="D145" t="s">
        <v>33</v>
      </c>
      <c r="E145" s="2">
        <v>43257</v>
      </c>
      <c r="F145">
        <v>52720</v>
      </c>
      <c r="G145">
        <v>68</v>
      </c>
      <c r="H145" t="s">
        <v>17</v>
      </c>
    </row>
    <row r="146" spans="1:8" x14ac:dyDescent="0.3">
      <c r="A146" t="s">
        <v>272</v>
      </c>
      <c r="B146" t="s">
        <v>94</v>
      </c>
      <c r="C146" t="s">
        <v>19</v>
      </c>
      <c r="D146" t="s">
        <v>33</v>
      </c>
      <c r="E146" s="2">
        <v>42932</v>
      </c>
      <c r="F146">
        <v>65065</v>
      </c>
      <c r="G146">
        <v>98</v>
      </c>
      <c r="H146" t="s">
        <v>45</v>
      </c>
    </row>
    <row r="147" spans="1:8" x14ac:dyDescent="0.3">
      <c r="A147" t="s">
        <v>273</v>
      </c>
      <c r="B147" t="s">
        <v>105</v>
      </c>
      <c r="C147" t="s">
        <v>15</v>
      </c>
      <c r="D147" t="s">
        <v>44</v>
      </c>
      <c r="E147" s="2">
        <v>42175</v>
      </c>
      <c r="G147">
        <v>94</v>
      </c>
      <c r="H147" t="s">
        <v>116</v>
      </c>
    </row>
    <row r="148" spans="1:8" x14ac:dyDescent="0.3">
      <c r="A148" t="s">
        <v>274</v>
      </c>
      <c r="B148" t="s">
        <v>105</v>
      </c>
      <c r="C148" t="s">
        <v>15</v>
      </c>
      <c r="D148" t="s">
        <v>37</v>
      </c>
      <c r="E148" s="2">
        <v>43609</v>
      </c>
      <c r="F148" t="s">
        <v>275</v>
      </c>
      <c r="G148">
        <v>57</v>
      </c>
      <c r="H148" t="s">
        <v>116</v>
      </c>
    </row>
    <row r="149" spans="1:8" x14ac:dyDescent="0.3">
      <c r="A149" t="s">
        <v>276</v>
      </c>
      <c r="B149" t="s">
        <v>24</v>
      </c>
      <c r="C149" t="s">
        <v>64</v>
      </c>
      <c r="D149" t="s">
        <v>84</v>
      </c>
      <c r="E149" s="2">
        <v>43887</v>
      </c>
      <c r="G149">
        <v>96</v>
      </c>
      <c r="H149" t="s">
        <v>12</v>
      </c>
    </row>
    <row r="150" spans="1:8" x14ac:dyDescent="0.3">
      <c r="A150" t="s">
        <v>277</v>
      </c>
      <c r="B150" t="s">
        <v>14</v>
      </c>
      <c r="C150" t="s">
        <v>64</v>
      </c>
      <c r="D150" t="s">
        <v>97</v>
      </c>
      <c r="E150" s="2">
        <v>44991</v>
      </c>
      <c r="F150">
        <v>106896</v>
      </c>
      <c r="G150">
        <v>52</v>
      </c>
      <c r="H150" t="s">
        <v>22</v>
      </c>
    </row>
    <row r="151" spans="1:8" x14ac:dyDescent="0.3">
      <c r="A151" t="s">
        <v>278</v>
      </c>
      <c r="C151" t="s">
        <v>60</v>
      </c>
      <c r="D151" t="s">
        <v>20</v>
      </c>
      <c r="E151" t="s">
        <v>279</v>
      </c>
      <c r="F151">
        <v>112887</v>
      </c>
      <c r="G151">
        <v>59</v>
      </c>
      <c r="H151" t="s">
        <v>51</v>
      </c>
    </row>
    <row r="152" spans="1:8" x14ac:dyDescent="0.3">
      <c r="A152" t="s">
        <v>215</v>
      </c>
      <c r="B152" t="s">
        <v>66</v>
      </c>
      <c r="C152" t="s">
        <v>60</v>
      </c>
      <c r="D152" t="s">
        <v>11</v>
      </c>
      <c r="E152" s="2">
        <v>44394</v>
      </c>
      <c r="F152">
        <v>91672</v>
      </c>
      <c r="G152">
        <v>88</v>
      </c>
      <c r="H152" t="s">
        <v>17</v>
      </c>
    </row>
    <row r="153" spans="1:8" x14ac:dyDescent="0.3">
      <c r="A153" t="s">
        <v>280</v>
      </c>
      <c r="B153" t="s">
        <v>160</v>
      </c>
      <c r="C153" t="s">
        <v>41</v>
      </c>
      <c r="D153" t="s">
        <v>26</v>
      </c>
      <c r="E153" s="2">
        <v>45037</v>
      </c>
      <c r="F153">
        <v>85457</v>
      </c>
      <c r="G153">
        <v>79</v>
      </c>
      <c r="H153" t="s">
        <v>17</v>
      </c>
    </row>
    <row r="154" spans="1:8" x14ac:dyDescent="0.3">
      <c r="A154" t="s">
        <v>281</v>
      </c>
      <c r="B154" t="s">
        <v>105</v>
      </c>
      <c r="C154" t="s">
        <v>47</v>
      </c>
      <c r="D154" t="s">
        <v>48</v>
      </c>
      <c r="E154" s="2">
        <v>42519</v>
      </c>
      <c r="F154">
        <v>62798</v>
      </c>
      <c r="G154">
        <v>30</v>
      </c>
      <c r="H154" t="s">
        <v>17</v>
      </c>
    </row>
    <row r="155" spans="1:8" x14ac:dyDescent="0.3">
      <c r="A155" t="s">
        <v>282</v>
      </c>
      <c r="B155" t="s">
        <v>9</v>
      </c>
      <c r="C155" t="s">
        <v>25</v>
      </c>
      <c r="D155" t="s">
        <v>33</v>
      </c>
      <c r="E155" s="2">
        <v>44711</v>
      </c>
      <c r="F155">
        <v>47794</v>
      </c>
      <c r="G155">
        <v>73</v>
      </c>
      <c r="H155" t="s">
        <v>22</v>
      </c>
    </row>
    <row r="156" spans="1:8" x14ac:dyDescent="0.3">
      <c r="A156" t="s">
        <v>89</v>
      </c>
      <c r="B156" t="s">
        <v>24</v>
      </c>
      <c r="C156" t="s">
        <v>41</v>
      </c>
      <c r="D156" t="s">
        <v>44</v>
      </c>
      <c r="E156" s="2">
        <v>42202</v>
      </c>
      <c r="G156">
        <v>68</v>
      </c>
      <c r="H156" t="s">
        <v>12</v>
      </c>
    </row>
    <row r="157" spans="1:8" x14ac:dyDescent="0.3">
      <c r="A157" t="s">
        <v>283</v>
      </c>
      <c r="B157" t="s">
        <v>66</v>
      </c>
      <c r="C157" t="s">
        <v>41</v>
      </c>
      <c r="D157" t="s">
        <v>16</v>
      </c>
      <c r="E157" t="s">
        <v>284</v>
      </c>
      <c r="F157">
        <v>93094</v>
      </c>
      <c r="G157">
        <v>74</v>
      </c>
      <c r="H157" t="s">
        <v>12</v>
      </c>
    </row>
    <row r="158" spans="1:8" x14ac:dyDescent="0.3">
      <c r="A158" t="s">
        <v>285</v>
      </c>
      <c r="B158" t="s">
        <v>71</v>
      </c>
      <c r="C158" t="s">
        <v>10</v>
      </c>
      <c r="D158" t="s">
        <v>11</v>
      </c>
      <c r="E158" s="2">
        <v>44848</v>
      </c>
      <c r="F158" t="s">
        <v>286</v>
      </c>
      <c r="G158">
        <v>91</v>
      </c>
      <c r="H158"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7072B-2668-48BC-B504-7DCF37D0EE30}">
  <dimension ref="A1:N151"/>
  <sheetViews>
    <sheetView topLeftCell="A2" workbookViewId="0">
      <selection activeCell="C17" sqref="C17"/>
    </sheetView>
  </sheetViews>
  <sheetFormatPr defaultRowHeight="14.4" x14ac:dyDescent="0.3"/>
  <cols>
    <col min="1" max="1" width="9.21875" bestFit="1" customWidth="1"/>
    <col min="2" max="2" width="12.6640625" bestFit="1" customWidth="1"/>
    <col min="3" max="3" width="12.5546875" bestFit="1" customWidth="1"/>
    <col min="4" max="4" width="16.6640625" bestFit="1" customWidth="1"/>
    <col min="5" max="5" width="12" bestFit="1" customWidth="1"/>
    <col min="6" max="6" width="18.88671875" bestFit="1" customWidth="1"/>
    <col min="7" max="7" width="27.6640625" style="4" bestFit="1" customWidth="1"/>
    <col min="8" max="8" width="19.88671875" style="6" bestFit="1" customWidth="1"/>
    <col min="9" max="9" width="16.77734375" bestFit="1" customWidth="1"/>
    <col min="10" max="10" width="16.77734375" style="7" bestFit="1" customWidth="1"/>
    <col min="11" max="11" width="19.6640625" bestFit="1" customWidth="1"/>
    <col min="12" max="12" width="19" bestFit="1" customWidth="1"/>
    <col min="13" max="13" width="22.33203125" bestFit="1" customWidth="1"/>
    <col min="14" max="14" width="14" bestFit="1" customWidth="1"/>
  </cols>
  <sheetData>
    <row r="1" spans="1:14" x14ac:dyDescent="0.3">
      <c r="A1" t="s">
        <v>0</v>
      </c>
      <c r="B1" t="s">
        <v>1</v>
      </c>
      <c r="C1" t="s">
        <v>2</v>
      </c>
      <c r="D1" t="s">
        <v>309</v>
      </c>
      <c r="E1" t="s">
        <v>3</v>
      </c>
      <c r="F1" t="s">
        <v>308</v>
      </c>
      <c r="G1" s="4" t="s">
        <v>4</v>
      </c>
      <c r="H1" s="6" t="s">
        <v>310</v>
      </c>
      <c r="I1" t="s">
        <v>7</v>
      </c>
      <c r="J1" s="7" t="s">
        <v>306</v>
      </c>
      <c r="K1" t="s">
        <v>307</v>
      </c>
      <c r="L1" t="s">
        <v>311</v>
      </c>
      <c r="M1" t="s">
        <v>312</v>
      </c>
      <c r="N1" t="s">
        <v>319</v>
      </c>
    </row>
    <row r="2" spans="1:14" x14ac:dyDescent="0.3">
      <c r="A2" t="s">
        <v>8</v>
      </c>
      <c r="B2" t="s">
        <v>9</v>
      </c>
      <c r="C2" t="s">
        <v>10</v>
      </c>
      <c r="D2" t="str">
        <f>base_cleaned[[#This Row],[First_Name]]&amp;" "&amp;base_cleaned[[#This Row],[Last_Name]]</f>
        <v>Emily Brown</v>
      </c>
      <c r="E2" t="s">
        <v>11</v>
      </c>
      <c r="F2" t="str">
        <f>VLOOKUP(E:E,Table7[#All],2,FALSE)</f>
        <v>Information Technology</v>
      </c>
      <c r="G2" s="4">
        <v>43093</v>
      </c>
      <c r="H2" s="6">
        <f ca="1">INT(YEARFRAC(base_cleaned[[#This Row],[Hire Date]],TODAY()))</f>
        <v>8</v>
      </c>
      <c r="I2" t="s">
        <v>304</v>
      </c>
      <c r="J2" s="7">
        <v>50361</v>
      </c>
      <c r="K2">
        <v>52</v>
      </c>
      <c r="L2" t="str">
        <f>VLOOKUP((base_cleaned[[#This Row],[Final Perf_Score]]),Table8[],3,TRUE)</f>
        <v>Developing</v>
      </c>
      <c r="M2" s="7">
        <f>((base_cleaned[[#This Row],[Final Salary]]*VLOOKUP((base_cleaned[[#This Row],[Final Perf_Score]]),Table8[],4,TRUE)))</f>
        <v>1007.22</v>
      </c>
      <c r="N2">
        <f>IF(base_cleaned[[#This Row],[Employment Status]]="LEFT",1,0)</f>
        <v>0</v>
      </c>
    </row>
    <row r="3" spans="1:14" x14ac:dyDescent="0.3">
      <c r="A3" t="s">
        <v>18</v>
      </c>
      <c r="B3" t="s">
        <v>9</v>
      </c>
      <c r="C3" t="s">
        <v>19</v>
      </c>
      <c r="D3" t="str">
        <f>base_cleaned[[#This Row],[First_Name]]&amp;" "&amp;base_cleaned[[#This Row],[Last_Name]]</f>
        <v>Emily Gonzalez</v>
      </c>
      <c r="E3" t="s">
        <v>11</v>
      </c>
      <c r="F3" t="str">
        <f>VLOOKUP(E:E,Table7[#All],2,FALSE)</f>
        <v>Information Technology</v>
      </c>
      <c r="G3" s="4">
        <v>42431</v>
      </c>
      <c r="H3" s="6">
        <f ca="1">INT(YEARFRAC(base_cleaned[[#This Row],[Hire Date]],TODAY()))</f>
        <v>10</v>
      </c>
      <c r="I3" t="s">
        <v>305</v>
      </c>
      <c r="J3" s="7">
        <v>114425</v>
      </c>
      <c r="K3">
        <v>54</v>
      </c>
      <c r="L3" t="str">
        <f>VLOOKUP((base_cleaned[[#This Row],[Final Perf_Score]]),Table8[],3,TRUE)</f>
        <v>Developing</v>
      </c>
      <c r="M3" s="7">
        <f>((base_cleaned[[#This Row],[Final Salary]]*VLOOKUP((base_cleaned[[#This Row],[Final Perf_Score]]),Table8[],4,TRUE)))</f>
        <v>2288.5</v>
      </c>
      <c r="N3">
        <f>IF(base_cleaned[[#This Row],[Employment Status]]="LEFT",1,0)</f>
        <v>1</v>
      </c>
    </row>
    <row r="4" spans="1:14" x14ac:dyDescent="0.3">
      <c r="A4" t="s">
        <v>27</v>
      </c>
      <c r="B4" t="s">
        <v>28</v>
      </c>
      <c r="C4" t="s">
        <v>29</v>
      </c>
      <c r="D4" t="str">
        <f>base_cleaned[[#This Row],[First_Name]]&amp;" "&amp;base_cleaned[[#This Row],[Last_Name]]</f>
        <v>Thomas Smith</v>
      </c>
      <c r="E4" t="s">
        <v>11</v>
      </c>
      <c r="F4" t="str">
        <f>VLOOKUP(E:E,Table7[#All],2,FALSE)</f>
        <v>Information Technology</v>
      </c>
      <c r="G4" s="4">
        <v>44977</v>
      </c>
      <c r="H4" s="6">
        <f ca="1">INT(YEARFRAC(base_cleaned[[#This Row],[Hire Date]],TODAY()))</f>
        <v>3</v>
      </c>
      <c r="I4" t="s">
        <v>305</v>
      </c>
      <c r="J4" s="7">
        <v>73785</v>
      </c>
      <c r="K4">
        <v>40</v>
      </c>
      <c r="L4" t="str">
        <f>VLOOKUP((base_cleaned[[#This Row],[Final Perf_Score]]),Table8[],3,TRUE)</f>
        <v>Needs Improvement</v>
      </c>
      <c r="M4" s="7">
        <f>((base_cleaned[[#This Row],[Final Salary]]*VLOOKUP((base_cleaned[[#This Row],[Final Perf_Score]]),Table8[],4,TRUE)))</f>
        <v>0</v>
      </c>
      <c r="N4">
        <f>IF(base_cleaned[[#This Row],[Employment Status]]="LEFT",1,0)</f>
        <v>1</v>
      </c>
    </row>
    <row r="5" spans="1:14" x14ac:dyDescent="0.3">
      <c r="A5" t="s">
        <v>13</v>
      </c>
      <c r="B5" t="s">
        <v>14</v>
      </c>
      <c r="C5" t="s">
        <v>15</v>
      </c>
      <c r="D5" t="str">
        <f>base_cleaned[[#This Row],[First_Name]]&amp;" "&amp;base_cleaned[[#This Row],[Last_Name]]</f>
        <v>Richard Hernandez</v>
      </c>
      <c r="E5" t="s">
        <v>16</v>
      </c>
      <c r="F5" t="str">
        <f>VLOOKUP(E:E,Table7[#All],2,FALSE)</f>
        <v>Marketing</v>
      </c>
      <c r="G5" s="4">
        <v>44659</v>
      </c>
      <c r="H5" s="6">
        <f ca="1">INT(YEARFRAC(base_cleaned[[#This Row],[Hire Date]],TODAY()))</f>
        <v>4</v>
      </c>
      <c r="I5" t="s">
        <v>304</v>
      </c>
      <c r="J5" s="7">
        <v>112673</v>
      </c>
      <c r="K5">
        <v>75</v>
      </c>
      <c r="L5" t="str">
        <f>VLOOKUP((base_cleaned[[#This Row],[Final Perf_Score]]),Table8[],3,TRUE)</f>
        <v>Achieving</v>
      </c>
      <c r="M5" s="7">
        <f>((base_cleaned[[#This Row],[Final Salary]]*VLOOKUP((base_cleaned[[#This Row],[Final Perf_Score]]),Table8[],4,TRUE)))</f>
        <v>5633.6500000000005</v>
      </c>
      <c r="N5">
        <f>IF(base_cleaned[[#This Row],[Employment Status]]="LEFT",1,0)</f>
        <v>0</v>
      </c>
    </row>
    <row r="6" spans="1:14" x14ac:dyDescent="0.3">
      <c r="A6" t="s">
        <v>23</v>
      </c>
      <c r="B6" t="s">
        <v>24</v>
      </c>
      <c r="C6" t="s">
        <v>25</v>
      </c>
      <c r="D6" t="str">
        <f>base_cleaned[[#This Row],[First_Name]]&amp;" "&amp;base_cleaned[[#This Row],[Last_Name]]</f>
        <v>John Martinez</v>
      </c>
      <c r="E6" t="s">
        <v>26</v>
      </c>
      <c r="F6" t="str">
        <f>VLOOKUP(E:E,Table7[#All],2,FALSE)</f>
        <v>Finance</v>
      </c>
      <c r="G6" s="4">
        <v>45110</v>
      </c>
      <c r="H6" s="6">
        <f ca="1">INT(YEARFRAC(base_cleaned[[#This Row],[Hire Date]],TODAY()))</f>
        <v>3</v>
      </c>
      <c r="I6" t="s">
        <v>304</v>
      </c>
      <c r="J6" s="7">
        <v>103831</v>
      </c>
      <c r="K6">
        <v>70</v>
      </c>
      <c r="L6" t="str">
        <f>VLOOKUP((base_cleaned[[#This Row],[Final Perf_Score]]),Table8[],3,TRUE)</f>
        <v>Achieving</v>
      </c>
      <c r="M6" s="7">
        <f>((base_cleaned[[#This Row],[Final Salary]]*VLOOKUP((base_cleaned[[#This Row],[Final Perf_Score]]),Table8[],4,TRUE)))</f>
        <v>5191.55</v>
      </c>
      <c r="N6">
        <f>IF(base_cleaned[[#This Row],[Employment Status]]="LEFT",1,0)</f>
        <v>0</v>
      </c>
    </row>
    <row r="7" spans="1:14" x14ac:dyDescent="0.3">
      <c r="A7" t="s">
        <v>31</v>
      </c>
      <c r="B7" t="s">
        <v>9</v>
      </c>
      <c r="C7" t="s">
        <v>32</v>
      </c>
      <c r="D7" t="str">
        <f>base_cleaned[[#This Row],[First_Name]]&amp;" "&amp;base_cleaned[[#This Row],[Last_Name]]</f>
        <v>Emily Johnson</v>
      </c>
      <c r="E7" t="s">
        <v>33</v>
      </c>
      <c r="F7" t="str">
        <f>VLOOKUP(E:E,Table7[#All],2,FALSE)</f>
        <v>Operations</v>
      </c>
      <c r="G7" s="4">
        <v>43892</v>
      </c>
      <c r="H7" s="6">
        <f ca="1">INT(YEARFRAC(base_cleaned[[#This Row],[Hire Date]],TODAY()))</f>
        <v>6</v>
      </c>
      <c r="I7" t="s">
        <v>304</v>
      </c>
      <c r="J7" s="7">
        <v>115882</v>
      </c>
      <c r="K7">
        <v>49</v>
      </c>
      <c r="L7" t="str">
        <f>VLOOKUP((base_cleaned[[#This Row],[Final Perf_Score]]),Table8[],3,TRUE)</f>
        <v>Needs Improvement</v>
      </c>
      <c r="M7" s="7">
        <f>((base_cleaned[[#This Row],[Final Salary]]*VLOOKUP((base_cleaned[[#This Row],[Final Perf_Score]]),Table8[],4,TRUE)))</f>
        <v>0</v>
      </c>
      <c r="N7">
        <f>IF(base_cleaned[[#This Row],[Employment Status]]="LEFT",1,0)</f>
        <v>0</v>
      </c>
    </row>
    <row r="8" spans="1:14" x14ac:dyDescent="0.3">
      <c r="A8" t="s">
        <v>35</v>
      </c>
      <c r="B8" t="s">
        <v>24</v>
      </c>
      <c r="C8" t="s">
        <v>36</v>
      </c>
      <c r="D8" t="str">
        <f>base_cleaned[[#This Row],[First_Name]]&amp;" "&amp;base_cleaned[[#This Row],[Last_Name]]</f>
        <v>John Wilson</v>
      </c>
      <c r="E8" t="s">
        <v>33</v>
      </c>
      <c r="F8" t="str">
        <f>VLOOKUP(E:E,Table7[#All],2,FALSE)</f>
        <v>Operations</v>
      </c>
      <c r="G8" s="4">
        <v>45272</v>
      </c>
      <c r="H8" s="6">
        <f ca="1">INT(YEARFRAC(base_cleaned[[#This Row],[Hire Date]],TODAY()))</f>
        <v>2</v>
      </c>
      <c r="I8" t="s">
        <v>305</v>
      </c>
      <c r="J8" s="7">
        <v>59980</v>
      </c>
      <c r="K8">
        <v>70</v>
      </c>
      <c r="L8" t="str">
        <f>VLOOKUP((base_cleaned[[#This Row],[Final Perf_Score]]),Table8[],3,TRUE)</f>
        <v>Achieving</v>
      </c>
      <c r="M8" s="7">
        <f>((base_cleaned[[#This Row],[Final Salary]]*VLOOKUP((base_cleaned[[#This Row],[Final Perf_Score]]),Table8[],4,TRUE)))</f>
        <v>2999</v>
      </c>
      <c r="N8">
        <f>IF(base_cleaned[[#This Row],[Employment Status]]="LEFT",1,0)</f>
        <v>1</v>
      </c>
    </row>
    <row r="9" spans="1:14" x14ac:dyDescent="0.3">
      <c r="A9" t="s">
        <v>38</v>
      </c>
      <c r="B9" t="s">
        <v>39</v>
      </c>
      <c r="C9" t="s">
        <v>29</v>
      </c>
      <c r="D9" t="str">
        <f>base_cleaned[[#This Row],[First_Name]]&amp;" "&amp;base_cleaned[[#This Row],[Last_Name]]</f>
        <v>Jessica Smith</v>
      </c>
      <c r="E9" t="s">
        <v>33</v>
      </c>
      <c r="F9" t="str">
        <f>VLOOKUP(E:E,Table7[#All],2,FALSE)</f>
        <v>Operations</v>
      </c>
      <c r="G9" s="4">
        <v>44174</v>
      </c>
      <c r="H9" s="6">
        <f ca="1">INT(YEARFRAC(base_cleaned[[#This Row],[Hire Date]],TODAY()))</f>
        <v>5</v>
      </c>
      <c r="I9" t="s">
        <v>304</v>
      </c>
      <c r="J9" s="7">
        <v>68728</v>
      </c>
      <c r="K9">
        <v>45</v>
      </c>
      <c r="L9" t="str">
        <f>VLOOKUP((base_cleaned[[#This Row],[Final Perf_Score]]),Table8[],3,TRUE)</f>
        <v>Needs Improvement</v>
      </c>
      <c r="M9" s="7">
        <f>((base_cleaned[[#This Row],[Final Salary]]*VLOOKUP((base_cleaned[[#This Row],[Final Perf_Score]]),Table8[],4,TRUE)))</f>
        <v>0</v>
      </c>
      <c r="N9">
        <f>IF(base_cleaned[[#This Row],[Employment Status]]="LEFT",1,0)</f>
        <v>0</v>
      </c>
    </row>
    <row r="10" spans="1:14" x14ac:dyDescent="0.3">
      <c r="A10" t="s">
        <v>40</v>
      </c>
      <c r="C10" t="s">
        <v>41</v>
      </c>
      <c r="D10" t="str">
        <f>base_cleaned[[#This Row],[First_Name]]&amp;" "&amp;base_cleaned[[#This Row],[Last_Name]]</f>
        <v xml:space="preserve"> Rodriguez</v>
      </c>
      <c r="E10" t="s">
        <v>26</v>
      </c>
      <c r="F10" t="str">
        <f>VLOOKUP(E:E,Table7[#All],2,FALSE)</f>
        <v>Finance</v>
      </c>
      <c r="G10" s="4">
        <v>43107</v>
      </c>
      <c r="H10" s="6">
        <f ca="1">INT(YEARFRAC(base_cleaned[[#This Row],[Hire Date]],TODAY()))</f>
        <v>8</v>
      </c>
      <c r="I10" t="s">
        <v>304</v>
      </c>
      <c r="J10" s="7">
        <v>102139</v>
      </c>
      <c r="K10">
        <v>79</v>
      </c>
      <c r="L10" t="str">
        <f>VLOOKUP((base_cleaned[[#This Row],[Final Perf_Score]]),Table8[],3,TRUE)</f>
        <v>Achieving</v>
      </c>
      <c r="M10" s="7">
        <f>((base_cleaned[[#This Row],[Final Salary]]*VLOOKUP((base_cleaned[[#This Row],[Final Perf_Score]]),Table8[],4,TRUE)))</f>
        <v>5106.9500000000007</v>
      </c>
      <c r="N10">
        <f>IF(base_cleaned[[#This Row],[Employment Status]]="LEFT",1,0)</f>
        <v>0</v>
      </c>
    </row>
    <row r="11" spans="1:14" x14ac:dyDescent="0.3">
      <c r="A11" t="s">
        <v>42</v>
      </c>
      <c r="B11" t="s">
        <v>43</v>
      </c>
      <c r="C11" t="s">
        <v>25</v>
      </c>
      <c r="D11" t="str">
        <f>base_cleaned[[#This Row],[First_Name]]&amp;" "&amp;base_cleaned[[#This Row],[Last_Name]]</f>
        <v>Michael Martinez</v>
      </c>
      <c r="E11" t="s">
        <v>44</v>
      </c>
      <c r="F11" t="str">
        <f>VLOOKUP(E:E,Table7[#All],2,FALSE)</f>
        <v>Sales</v>
      </c>
      <c r="G11" s="4">
        <v>42676</v>
      </c>
      <c r="H11" s="6">
        <f ca="1">INT(YEARFRAC(base_cleaned[[#This Row],[Hire Date]],TODAY()))</f>
        <v>9</v>
      </c>
      <c r="I11" t="s">
        <v>304</v>
      </c>
      <c r="J11" s="7">
        <v>94998</v>
      </c>
      <c r="K11">
        <v>58</v>
      </c>
      <c r="L11" t="str">
        <f>VLOOKUP((base_cleaned[[#This Row],[Final Perf_Score]]),Table8[],3,TRUE)</f>
        <v>Developing</v>
      </c>
      <c r="M11" s="7">
        <f>((base_cleaned[[#This Row],[Final Salary]]*VLOOKUP((base_cleaned[[#This Row],[Final Perf_Score]]),Table8[],4,TRUE)))</f>
        <v>1899.96</v>
      </c>
      <c r="N11">
        <f>IF(base_cleaned[[#This Row],[Employment Status]]="LEFT",1,0)</f>
        <v>0</v>
      </c>
    </row>
    <row r="12" spans="1:14" x14ac:dyDescent="0.3">
      <c r="A12" t="s">
        <v>46</v>
      </c>
      <c r="B12" t="s">
        <v>9</v>
      </c>
      <c r="C12" t="s">
        <v>47</v>
      </c>
      <c r="D12" t="str">
        <f>base_cleaned[[#This Row],[First_Name]]&amp;" "&amp;base_cleaned[[#This Row],[Last_Name]]</f>
        <v>Emily Miller</v>
      </c>
      <c r="E12" t="s">
        <v>44</v>
      </c>
      <c r="F12" t="str">
        <f>VLOOKUP(E:E,Table7[#All],2,FALSE)</f>
        <v>Sales</v>
      </c>
      <c r="G12" s="4">
        <v>43911</v>
      </c>
      <c r="H12" s="6">
        <f ca="1">INT(YEARFRAC(base_cleaned[[#This Row],[Hire Date]],TODAY()))</f>
        <v>6</v>
      </c>
      <c r="I12" t="s">
        <v>304</v>
      </c>
      <c r="J12" s="7">
        <v>118635</v>
      </c>
      <c r="K12">
        <v>49</v>
      </c>
      <c r="L12" t="str">
        <f>VLOOKUP((base_cleaned[[#This Row],[Final Perf_Score]]),Table8[],3,TRUE)</f>
        <v>Needs Improvement</v>
      </c>
      <c r="M12" s="7">
        <f>((base_cleaned[[#This Row],[Final Salary]]*VLOOKUP((base_cleaned[[#This Row],[Final Perf_Score]]),Table8[],4,TRUE)))</f>
        <v>0</v>
      </c>
      <c r="N12">
        <f>IF(base_cleaned[[#This Row],[Employment Status]]="LEFT",1,0)</f>
        <v>0</v>
      </c>
    </row>
    <row r="13" spans="1:14" x14ac:dyDescent="0.3">
      <c r="A13" t="s">
        <v>50</v>
      </c>
      <c r="B13" t="s">
        <v>9</v>
      </c>
      <c r="C13" t="s">
        <v>15</v>
      </c>
      <c r="D13" t="str">
        <f>base_cleaned[[#This Row],[First_Name]]&amp;" "&amp;base_cleaned[[#This Row],[Last_Name]]</f>
        <v>Emily Hernandez</v>
      </c>
      <c r="E13" t="s">
        <v>11</v>
      </c>
      <c r="F13" t="str">
        <f>VLOOKUP(E:E,Table7[#All],2,FALSE)</f>
        <v>Information Technology</v>
      </c>
      <c r="G13" s="4">
        <v>42425</v>
      </c>
      <c r="H13" s="6">
        <f ca="1">INT(YEARFRAC(base_cleaned[[#This Row],[Hire Date]],TODAY()))</f>
        <v>10</v>
      </c>
      <c r="I13" t="s">
        <v>304</v>
      </c>
      <c r="J13" s="7">
        <v>76918</v>
      </c>
      <c r="K13">
        <v>62</v>
      </c>
      <c r="L13" t="str">
        <f>VLOOKUP((base_cleaned[[#This Row],[Final Perf_Score]]),Table8[],3,TRUE)</f>
        <v>Developing</v>
      </c>
      <c r="M13" s="7">
        <f>((base_cleaned[[#This Row],[Final Salary]]*VLOOKUP((base_cleaned[[#This Row],[Final Perf_Score]]),Table8[],4,TRUE)))</f>
        <v>1538.3600000000001</v>
      </c>
      <c r="N13">
        <f>IF(base_cleaned[[#This Row],[Employment Status]]="LEFT",1,0)</f>
        <v>0</v>
      </c>
    </row>
    <row r="14" spans="1:14" x14ac:dyDescent="0.3">
      <c r="A14" t="s">
        <v>52</v>
      </c>
      <c r="B14" t="s">
        <v>53</v>
      </c>
      <c r="C14" t="s">
        <v>54</v>
      </c>
      <c r="D14" t="str">
        <f>base_cleaned[[#This Row],[First_Name]]&amp;" "&amp;base_cleaned[[#This Row],[Last_Name]]</f>
        <v>Jane Williams</v>
      </c>
      <c r="E14" t="s">
        <v>16</v>
      </c>
      <c r="F14" t="str">
        <f>VLOOKUP(E:E,Table7[#All],2,FALSE)</f>
        <v>Marketing</v>
      </c>
      <c r="G14" s="4">
        <v>44364</v>
      </c>
      <c r="H14" s="6">
        <f ca="1">INT(YEARFRAC(base_cleaned[[#This Row],[Hire Date]],TODAY()))</f>
        <v>5</v>
      </c>
      <c r="I14" t="s">
        <v>304</v>
      </c>
      <c r="J14" s="7">
        <v>61408</v>
      </c>
      <c r="K14">
        <v>48</v>
      </c>
      <c r="L14" t="str">
        <f>VLOOKUP((base_cleaned[[#This Row],[Final Perf_Score]]),Table8[],3,TRUE)</f>
        <v>Needs Improvement</v>
      </c>
      <c r="M14" s="7">
        <f>((base_cleaned[[#This Row],[Final Salary]]*VLOOKUP((base_cleaned[[#This Row],[Final Perf_Score]]),Table8[],4,TRUE)))</f>
        <v>0</v>
      </c>
      <c r="N14">
        <f>IF(base_cleaned[[#This Row],[Employment Status]]="LEFT",1,0)</f>
        <v>0</v>
      </c>
    </row>
    <row r="15" spans="1:14" x14ac:dyDescent="0.3">
      <c r="A15" t="s">
        <v>57</v>
      </c>
      <c r="B15" t="s">
        <v>53</v>
      </c>
      <c r="C15" t="s">
        <v>47</v>
      </c>
      <c r="D15" t="str">
        <f>base_cleaned[[#This Row],[First_Name]]&amp;" "&amp;base_cleaned[[#This Row],[Last_Name]]</f>
        <v>Jane Miller</v>
      </c>
      <c r="E15" t="s">
        <v>16</v>
      </c>
      <c r="F15" t="str">
        <f>VLOOKUP(E:E,Table7[#All],2,FALSE)</f>
        <v>Marketing</v>
      </c>
      <c r="G15" s="4">
        <v>44001</v>
      </c>
      <c r="H15" s="6">
        <f ca="1">INT(YEARFRAC(base_cleaned[[#This Row],[Hire Date]],TODAY()))</f>
        <v>6</v>
      </c>
      <c r="I15" t="s">
        <v>304</v>
      </c>
      <c r="J15" s="7">
        <v>99990</v>
      </c>
      <c r="K15">
        <v>54</v>
      </c>
      <c r="L15" t="str">
        <f>VLOOKUP((base_cleaned[[#This Row],[Final Perf_Score]]),Table8[],3,TRUE)</f>
        <v>Developing</v>
      </c>
      <c r="M15" s="7">
        <f>((base_cleaned[[#This Row],[Final Salary]]*VLOOKUP((base_cleaned[[#This Row],[Final Perf_Score]]),Table8[],4,TRUE)))</f>
        <v>1999.8</v>
      </c>
      <c r="N15">
        <f>IF(base_cleaned[[#This Row],[Employment Status]]="LEFT",1,0)</f>
        <v>0</v>
      </c>
    </row>
    <row r="16" spans="1:14" x14ac:dyDescent="0.3">
      <c r="A16" t="s">
        <v>58</v>
      </c>
      <c r="B16" t="s">
        <v>59</v>
      </c>
      <c r="C16" t="s">
        <v>60</v>
      </c>
      <c r="D16" t="str">
        <f>base_cleaned[[#This Row],[First_Name]]&amp;" "&amp;base_cleaned[[#This Row],[Last_Name]]</f>
        <v>Robert Jones</v>
      </c>
      <c r="E16" t="s">
        <v>16</v>
      </c>
      <c r="F16" t="str">
        <f>VLOOKUP(E:E,Table7[#All],2,FALSE)</f>
        <v>Marketing</v>
      </c>
      <c r="G16" s="4">
        <v>43820</v>
      </c>
      <c r="H16" s="6">
        <f ca="1">INT(YEARFRAC(base_cleaned[[#This Row],[Hire Date]],TODAY()))</f>
        <v>6</v>
      </c>
      <c r="I16" t="s">
        <v>304</v>
      </c>
      <c r="J16" s="7">
        <v>80385</v>
      </c>
      <c r="K16">
        <v>75</v>
      </c>
      <c r="L16" t="str">
        <f>VLOOKUP((base_cleaned[[#This Row],[Final Perf_Score]]),Table8[],3,TRUE)</f>
        <v>Achieving</v>
      </c>
      <c r="M16" s="7">
        <f>((base_cleaned[[#This Row],[Final Salary]]*VLOOKUP((base_cleaned[[#This Row],[Final Perf_Score]]),Table8[],4,TRUE)))</f>
        <v>4019.25</v>
      </c>
      <c r="N16">
        <f>IF(base_cleaned[[#This Row],[Employment Status]]="LEFT",1,0)</f>
        <v>0</v>
      </c>
    </row>
    <row r="17" spans="1:14" x14ac:dyDescent="0.3">
      <c r="A17" t="s">
        <v>62</v>
      </c>
      <c r="B17" t="s">
        <v>28</v>
      </c>
      <c r="C17" t="s">
        <v>41</v>
      </c>
      <c r="D17" t="str">
        <f>base_cleaned[[#This Row],[First_Name]]&amp;" "&amp;base_cleaned[[#This Row],[Last_Name]]</f>
        <v>Thomas Rodriguez</v>
      </c>
      <c r="E17" t="s">
        <v>44</v>
      </c>
      <c r="F17" t="str">
        <f>VLOOKUP(E:E,Table7[#All],2,FALSE)</f>
        <v>Sales</v>
      </c>
      <c r="G17" s="4">
        <v>45169</v>
      </c>
      <c r="H17" s="6">
        <f ca="1">INT(YEARFRAC(base_cleaned[[#This Row],[Hire Date]],TODAY()))</f>
        <v>2</v>
      </c>
      <c r="I17" t="s">
        <v>304</v>
      </c>
      <c r="J17" s="7">
        <v>65290</v>
      </c>
      <c r="K17">
        <v>77</v>
      </c>
      <c r="L17" t="str">
        <f>VLOOKUP((base_cleaned[[#This Row],[Final Perf_Score]]),Table8[],3,TRUE)</f>
        <v>Achieving</v>
      </c>
      <c r="M17" s="7">
        <f>((base_cleaned[[#This Row],[Final Salary]]*VLOOKUP((base_cleaned[[#This Row],[Final Perf_Score]]),Table8[],4,TRUE)))</f>
        <v>3264.5</v>
      </c>
      <c r="N17">
        <f>IF(base_cleaned[[#This Row],[Employment Status]]="LEFT",1,0)</f>
        <v>0</v>
      </c>
    </row>
    <row r="18" spans="1:14" x14ac:dyDescent="0.3">
      <c r="A18" t="s">
        <v>63</v>
      </c>
      <c r="B18" t="s">
        <v>9</v>
      </c>
      <c r="C18" t="s">
        <v>64</v>
      </c>
      <c r="D18" t="str">
        <f>base_cleaned[[#This Row],[First_Name]]&amp;" "&amp;base_cleaned[[#This Row],[Last_Name]]</f>
        <v>Emily Davis</v>
      </c>
      <c r="E18" t="s">
        <v>11</v>
      </c>
      <c r="F18" t="str">
        <f>VLOOKUP(E:E,Table7[#All],2,FALSE)</f>
        <v>Information Technology</v>
      </c>
      <c r="G18" s="4">
        <v>42337</v>
      </c>
      <c r="H18" s="6">
        <f ca="1">INT(YEARFRAC(base_cleaned[[#This Row],[Hire Date]],TODAY()))</f>
        <v>10</v>
      </c>
      <c r="I18" t="s">
        <v>304</v>
      </c>
      <c r="J18" s="7">
        <v>105765</v>
      </c>
      <c r="K18">
        <v>42</v>
      </c>
      <c r="L18" t="str">
        <f>VLOOKUP((base_cleaned[[#This Row],[Final Perf_Score]]),Table8[],3,TRUE)</f>
        <v>Needs Improvement</v>
      </c>
      <c r="M18" s="7">
        <f>((base_cleaned[[#This Row],[Final Salary]]*VLOOKUP((base_cleaned[[#This Row],[Final Perf_Score]]),Table8[],4,TRUE)))</f>
        <v>0</v>
      </c>
      <c r="N18">
        <f>IF(base_cleaned[[#This Row],[Employment Status]]="LEFT",1,0)</f>
        <v>0</v>
      </c>
    </row>
    <row r="19" spans="1:14" x14ac:dyDescent="0.3">
      <c r="A19" t="s">
        <v>65</v>
      </c>
      <c r="B19" t="s">
        <v>66</v>
      </c>
      <c r="C19" t="s">
        <v>25</v>
      </c>
      <c r="D19" t="str">
        <f>base_cleaned[[#This Row],[First_Name]]&amp;" "&amp;base_cleaned[[#This Row],[Last_Name]]</f>
        <v>James Martinez</v>
      </c>
      <c r="E19" t="s">
        <v>44</v>
      </c>
      <c r="F19" t="str">
        <f>VLOOKUP(E:E,Table7[#All],2,FALSE)</f>
        <v>Sales</v>
      </c>
      <c r="G19" s="4">
        <v>42899</v>
      </c>
      <c r="H19" s="6">
        <f ca="1">INT(YEARFRAC(base_cleaned[[#This Row],[Hire Date]],TODAY()))</f>
        <v>9</v>
      </c>
      <c r="I19" t="s">
        <v>304</v>
      </c>
      <c r="J19" s="7">
        <v>102921</v>
      </c>
      <c r="K19">
        <v>49</v>
      </c>
      <c r="L19" t="str">
        <f>VLOOKUP((base_cleaned[[#This Row],[Final Perf_Score]]),Table8[],3,TRUE)</f>
        <v>Needs Improvement</v>
      </c>
      <c r="M19" s="7">
        <f>((base_cleaned[[#This Row],[Final Salary]]*VLOOKUP((base_cleaned[[#This Row],[Final Perf_Score]]),Table8[],4,TRUE)))</f>
        <v>0</v>
      </c>
      <c r="N19">
        <f>IF(base_cleaned[[#This Row],[Employment Status]]="LEFT",1,0)</f>
        <v>0</v>
      </c>
    </row>
    <row r="20" spans="1:14" x14ac:dyDescent="0.3">
      <c r="A20" t="s">
        <v>67</v>
      </c>
      <c r="B20" t="s">
        <v>68</v>
      </c>
      <c r="C20" t="s">
        <v>69</v>
      </c>
      <c r="D20" t="str">
        <f>base_cleaned[[#This Row],[First_Name]]&amp;" "&amp;base_cleaned[[#This Row],[Last_Name]]</f>
        <v>Ashley Lopez</v>
      </c>
      <c r="E20" t="s">
        <v>16</v>
      </c>
      <c r="F20" t="str">
        <f>VLOOKUP(E:E,Table7[#All],2,FALSE)</f>
        <v>Marketing</v>
      </c>
      <c r="G20" s="4">
        <v>43235</v>
      </c>
      <c r="H20" s="6">
        <f ca="1">INT(YEARFRAC(base_cleaned[[#This Row],[Hire Date]],TODAY()))</f>
        <v>8</v>
      </c>
      <c r="I20" t="s">
        <v>304</v>
      </c>
      <c r="J20" s="7">
        <v>73984</v>
      </c>
      <c r="K20">
        <v>93</v>
      </c>
      <c r="L20" t="str">
        <f>VLOOKUP((base_cleaned[[#This Row],[Final Perf_Score]]),Table8[],3,TRUE)</f>
        <v>Exceeding</v>
      </c>
      <c r="M20" s="7">
        <f>((base_cleaned[[#This Row],[Final Salary]]*VLOOKUP((base_cleaned[[#This Row],[Final Perf_Score]]),Table8[],4,TRUE)))</f>
        <v>5918.72</v>
      </c>
      <c r="N20">
        <f>IF(base_cleaned[[#This Row],[Employment Status]]="LEFT",1,0)</f>
        <v>0</v>
      </c>
    </row>
    <row r="21" spans="1:14" x14ac:dyDescent="0.3">
      <c r="A21" t="s">
        <v>70</v>
      </c>
      <c r="B21" t="s">
        <v>71</v>
      </c>
      <c r="C21" t="s">
        <v>19</v>
      </c>
      <c r="D21" t="str">
        <f>base_cleaned[[#This Row],[First_Name]]&amp;" "&amp;base_cleaned[[#This Row],[Last_Name]]</f>
        <v>Amanda Gonzalez</v>
      </c>
      <c r="E21" t="s">
        <v>11</v>
      </c>
      <c r="F21" t="str">
        <f>VLOOKUP(E:E,Table7[#All],2,FALSE)</f>
        <v>Information Technology</v>
      </c>
      <c r="G21" s="4">
        <v>42575</v>
      </c>
      <c r="H21" s="6">
        <f ca="1">INT(YEARFRAC(base_cleaned[[#This Row],[Hire Date]],TODAY()))</f>
        <v>9</v>
      </c>
      <c r="I21" t="s">
        <v>304</v>
      </c>
      <c r="J21" s="7">
        <v>80015</v>
      </c>
      <c r="K21">
        <v>75</v>
      </c>
      <c r="L21" t="str">
        <f>VLOOKUP((base_cleaned[[#This Row],[Final Perf_Score]]),Table8[],3,TRUE)</f>
        <v>Achieving</v>
      </c>
      <c r="M21" s="7">
        <f>((base_cleaned[[#This Row],[Final Salary]]*VLOOKUP((base_cleaned[[#This Row],[Final Perf_Score]]),Table8[],4,TRUE)))</f>
        <v>4000.75</v>
      </c>
      <c r="N21">
        <f>IF(base_cleaned[[#This Row],[Employment Status]]="LEFT",1,0)</f>
        <v>0</v>
      </c>
    </row>
    <row r="22" spans="1:14" x14ac:dyDescent="0.3">
      <c r="A22" t="s">
        <v>72</v>
      </c>
      <c r="B22" t="s">
        <v>43</v>
      </c>
      <c r="C22" t="s">
        <v>15</v>
      </c>
      <c r="D22" t="str">
        <f>base_cleaned[[#This Row],[First_Name]]&amp;" "&amp;base_cleaned[[#This Row],[Last_Name]]</f>
        <v>Michael Hernandez</v>
      </c>
      <c r="E22" t="s">
        <v>26</v>
      </c>
      <c r="F22" t="str">
        <f>VLOOKUP(E:E,Table7[#All],2,FALSE)</f>
        <v>Finance</v>
      </c>
      <c r="G22" s="4">
        <v>43076</v>
      </c>
      <c r="H22" s="6">
        <f ca="1">INT(YEARFRAC(base_cleaned[[#This Row],[Hire Date]],TODAY()))</f>
        <v>8</v>
      </c>
      <c r="I22" t="s">
        <v>304</v>
      </c>
      <c r="J22" s="7">
        <v>118527</v>
      </c>
      <c r="K22">
        <v>50</v>
      </c>
      <c r="L22" t="str">
        <f>VLOOKUP((base_cleaned[[#This Row],[Final Perf_Score]]),Table8[],3,TRUE)</f>
        <v>Developing</v>
      </c>
      <c r="M22" s="7">
        <f>((base_cleaned[[#This Row],[Final Salary]]*VLOOKUP((base_cleaned[[#This Row],[Final Perf_Score]]),Table8[],4,TRUE)))</f>
        <v>2370.54</v>
      </c>
      <c r="N22">
        <f>IF(base_cleaned[[#This Row],[Employment Status]]="LEFT",1,0)</f>
        <v>0</v>
      </c>
    </row>
    <row r="23" spans="1:14" x14ac:dyDescent="0.3">
      <c r="A23" t="s">
        <v>73</v>
      </c>
      <c r="B23" t="s">
        <v>14</v>
      </c>
      <c r="C23" t="s">
        <v>15</v>
      </c>
      <c r="D23" t="str">
        <f>base_cleaned[[#This Row],[First_Name]]&amp;" "&amp;base_cleaned[[#This Row],[Last_Name]]</f>
        <v>Richard Hernandez</v>
      </c>
      <c r="E23" t="s">
        <v>16</v>
      </c>
      <c r="F23" t="str">
        <f>VLOOKUP(E:E,Table7[#All],2,FALSE)</f>
        <v>Marketing</v>
      </c>
      <c r="G23" s="4">
        <v>44353</v>
      </c>
      <c r="H23" s="6">
        <f ca="1">INT(YEARFRAC(base_cleaned[[#This Row],[Hire Date]],TODAY()))</f>
        <v>5</v>
      </c>
      <c r="I23" t="s">
        <v>304</v>
      </c>
      <c r="J23" s="7">
        <v>107871</v>
      </c>
      <c r="K23">
        <v>88</v>
      </c>
      <c r="L23" t="str">
        <f>VLOOKUP((base_cleaned[[#This Row],[Final Perf_Score]]),Table8[],3,TRUE)</f>
        <v>Exceeding</v>
      </c>
      <c r="M23" s="7">
        <f>((base_cleaned[[#This Row],[Final Salary]]*VLOOKUP((base_cleaned[[#This Row],[Final Perf_Score]]),Table8[],4,TRUE)))</f>
        <v>8629.68</v>
      </c>
      <c r="N23">
        <f>IF(base_cleaned[[#This Row],[Employment Status]]="LEFT",1,0)</f>
        <v>0</v>
      </c>
    </row>
    <row r="24" spans="1:14" x14ac:dyDescent="0.3">
      <c r="A24" t="s">
        <v>74</v>
      </c>
      <c r="B24" t="s">
        <v>43</v>
      </c>
      <c r="C24" t="s">
        <v>41</v>
      </c>
      <c r="D24" t="str">
        <f>base_cleaned[[#This Row],[First_Name]]&amp;" "&amp;base_cleaned[[#This Row],[Last_Name]]</f>
        <v>Michael Rodriguez</v>
      </c>
      <c r="E24" t="s">
        <v>11</v>
      </c>
      <c r="F24" t="str">
        <f>VLOOKUP(E:E,Table7[#All],2,FALSE)</f>
        <v>Information Technology</v>
      </c>
      <c r="G24" s="4">
        <v>44815</v>
      </c>
      <c r="H24" s="6">
        <f ca="1">INT(YEARFRAC(base_cleaned[[#This Row],[Hire Date]],TODAY()))</f>
        <v>3</v>
      </c>
      <c r="I24" t="s">
        <v>305</v>
      </c>
      <c r="J24" s="7">
        <v>93956</v>
      </c>
      <c r="K24">
        <v>50</v>
      </c>
      <c r="L24" t="str">
        <f>VLOOKUP((base_cleaned[[#This Row],[Final Perf_Score]]),Table8[],3,TRUE)</f>
        <v>Developing</v>
      </c>
      <c r="M24" s="7">
        <f>((base_cleaned[[#This Row],[Final Salary]]*VLOOKUP((base_cleaned[[#This Row],[Final Perf_Score]]),Table8[],4,TRUE)))</f>
        <v>1879.1200000000001</v>
      </c>
      <c r="N24">
        <f>IF(base_cleaned[[#This Row],[Employment Status]]="LEFT",1,0)</f>
        <v>1</v>
      </c>
    </row>
    <row r="25" spans="1:14" x14ac:dyDescent="0.3">
      <c r="A25" t="s">
        <v>75</v>
      </c>
      <c r="B25" t="s">
        <v>39</v>
      </c>
      <c r="C25" t="s">
        <v>32</v>
      </c>
      <c r="D25" t="str">
        <f>base_cleaned[[#This Row],[First_Name]]&amp;" "&amp;base_cleaned[[#This Row],[Last_Name]]</f>
        <v>Jessica Johnson</v>
      </c>
      <c r="E25" t="s">
        <v>26</v>
      </c>
      <c r="F25" t="str">
        <f>VLOOKUP(E:E,Table7[#All],2,FALSE)</f>
        <v>Finance</v>
      </c>
      <c r="G25" s="4">
        <v>42565</v>
      </c>
      <c r="H25" s="6">
        <f ca="1">INT(YEARFRAC(base_cleaned[[#This Row],[Hire Date]],TODAY()))</f>
        <v>9</v>
      </c>
      <c r="I25" t="s">
        <v>304</v>
      </c>
      <c r="J25" s="7">
        <v>100851</v>
      </c>
      <c r="K25">
        <v>64</v>
      </c>
      <c r="L25" t="str">
        <f>VLOOKUP((base_cleaned[[#This Row],[Final Perf_Score]]),Table8[],3,TRUE)</f>
        <v>Developing</v>
      </c>
      <c r="M25" s="7">
        <f>((base_cleaned[[#This Row],[Final Salary]]*VLOOKUP((base_cleaned[[#This Row],[Final Perf_Score]]),Table8[],4,TRUE)))</f>
        <v>2017.02</v>
      </c>
      <c r="N25">
        <f>IF(base_cleaned[[#This Row],[Employment Status]]="LEFT",1,0)</f>
        <v>0</v>
      </c>
    </row>
    <row r="26" spans="1:14" x14ac:dyDescent="0.3">
      <c r="A26" t="s">
        <v>77</v>
      </c>
      <c r="B26" t="s">
        <v>68</v>
      </c>
      <c r="C26" t="s">
        <v>54</v>
      </c>
      <c r="D26" t="str">
        <f>base_cleaned[[#This Row],[First_Name]]&amp;" "&amp;base_cleaned[[#This Row],[Last_Name]]</f>
        <v>Ashley Williams</v>
      </c>
      <c r="E26" t="s">
        <v>44</v>
      </c>
      <c r="F26" t="str">
        <f>VLOOKUP(E:E,Table7[#All],2,FALSE)</f>
        <v>Sales</v>
      </c>
      <c r="G26" s="4">
        <v>44728</v>
      </c>
      <c r="H26" s="6">
        <f ca="1">INT(YEARFRAC(base_cleaned[[#This Row],[Hire Date]],TODAY()))</f>
        <v>4</v>
      </c>
      <c r="I26" t="s">
        <v>304</v>
      </c>
      <c r="J26" s="7">
        <v>68655</v>
      </c>
      <c r="K26">
        <v>32</v>
      </c>
      <c r="L26" t="str">
        <f>VLOOKUP((base_cleaned[[#This Row],[Final Perf_Score]]),Table8[],3,TRUE)</f>
        <v>Needs Improvement</v>
      </c>
      <c r="M26" s="7">
        <f>((base_cleaned[[#This Row],[Final Salary]]*VLOOKUP((base_cleaned[[#This Row],[Final Perf_Score]]),Table8[],4,TRUE)))</f>
        <v>0</v>
      </c>
      <c r="N26">
        <f>IF(base_cleaned[[#This Row],[Employment Status]]="LEFT",1,0)</f>
        <v>0</v>
      </c>
    </row>
    <row r="27" spans="1:14" x14ac:dyDescent="0.3">
      <c r="A27" t="s">
        <v>78</v>
      </c>
      <c r="C27" t="s">
        <v>54</v>
      </c>
      <c r="D27" t="str">
        <f>base_cleaned[[#This Row],[First_Name]]&amp;" "&amp;base_cleaned[[#This Row],[Last_Name]]</f>
        <v xml:space="preserve"> Williams</v>
      </c>
      <c r="E27" t="s">
        <v>44</v>
      </c>
      <c r="F27" t="str">
        <f>VLOOKUP(E:E,Table7[#All],2,FALSE)</f>
        <v>Sales</v>
      </c>
      <c r="G27" s="4">
        <v>45134</v>
      </c>
      <c r="H27" s="6">
        <f ca="1">INT(YEARFRAC(base_cleaned[[#This Row],[Hire Date]],TODAY()))</f>
        <v>2</v>
      </c>
      <c r="I27" t="s">
        <v>304</v>
      </c>
      <c r="J27" s="7">
        <v>81205</v>
      </c>
      <c r="K27">
        <v>59</v>
      </c>
      <c r="L27" t="str">
        <f>VLOOKUP((base_cleaned[[#This Row],[Final Perf_Score]]),Table8[],3,TRUE)</f>
        <v>Developing</v>
      </c>
      <c r="M27" s="7">
        <f>((base_cleaned[[#This Row],[Final Salary]]*VLOOKUP((base_cleaned[[#This Row],[Final Perf_Score]]),Table8[],4,TRUE)))</f>
        <v>1624.1000000000001</v>
      </c>
      <c r="N27">
        <f>IF(base_cleaned[[#This Row],[Employment Status]]="LEFT",1,0)</f>
        <v>0</v>
      </c>
    </row>
    <row r="28" spans="1:14" x14ac:dyDescent="0.3">
      <c r="A28" t="s">
        <v>80</v>
      </c>
      <c r="B28" t="s">
        <v>24</v>
      </c>
      <c r="C28" t="s">
        <v>36</v>
      </c>
      <c r="D28" t="str">
        <f>base_cleaned[[#This Row],[First_Name]]&amp;" "&amp;base_cleaned[[#This Row],[Last_Name]]</f>
        <v>John Wilson</v>
      </c>
      <c r="E28" t="s">
        <v>44</v>
      </c>
      <c r="F28" t="str">
        <f>VLOOKUP(E:E,Table7[#All],2,FALSE)</f>
        <v>Sales</v>
      </c>
      <c r="G28" s="4">
        <v>43732</v>
      </c>
      <c r="H28" s="6">
        <f ca="1">INT(YEARFRAC(base_cleaned[[#This Row],[Hire Date]],TODAY()))</f>
        <v>6</v>
      </c>
      <c r="I28" t="s">
        <v>304</v>
      </c>
      <c r="J28" s="7">
        <v>77610</v>
      </c>
      <c r="K28">
        <v>88</v>
      </c>
      <c r="L28" t="str">
        <f>VLOOKUP((base_cleaned[[#This Row],[Final Perf_Score]]),Table8[],3,TRUE)</f>
        <v>Exceeding</v>
      </c>
      <c r="M28" s="7">
        <f>((base_cleaned[[#This Row],[Final Salary]]*VLOOKUP((base_cleaned[[#This Row],[Final Perf_Score]]),Table8[],4,TRUE)))</f>
        <v>6208.8</v>
      </c>
      <c r="N28">
        <f>IF(base_cleaned[[#This Row],[Employment Status]]="LEFT",1,0)</f>
        <v>0</v>
      </c>
    </row>
    <row r="29" spans="1:14" x14ac:dyDescent="0.3">
      <c r="A29" t="s">
        <v>83</v>
      </c>
      <c r="B29" t="s">
        <v>28</v>
      </c>
      <c r="C29" t="s">
        <v>41</v>
      </c>
      <c r="D29" t="str">
        <f>base_cleaned[[#This Row],[First_Name]]&amp;" "&amp;base_cleaned[[#This Row],[Last_Name]]</f>
        <v>Thomas Rodriguez</v>
      </c>
      <c r="E29" t="s">
        <v>11</v>
      </c>
      <c r="F29" t="str">
        <f>VLOOKUP(E:E,Table7[#All],2,FALSE)</f>
        <v>Information Technology</v>
      </c>
      <c r="G29" s="4">
        <v>44765</v>
      </c>
      <c r="H29" s="6">
        <f ca="1">INT(YEARFRAC(base_cleaned[[#This Row],[Hire Date]],TODAY()))</f>
        <v>3</v>
      </c>
      <c r="I29" t="s">
        <v>304</v>
      </c>
      <c r="J29" s="7">
        <v>50873</v>
      </c>
      <c r="K29">
        <v>90</v>
      </c>
      <c r="L29" t="str">
        <f>VLOOKUP((base_cleaned[[#This Row],[Final Perf_Score]]),Table8[],3,TRUE)</f>
        <v>Exceeding</v>
      </c>
      <c r="M29" s="7">
        <f>((base_cleaned[[#This Row],[Final Salary]]*VLOOKUP((base_cleaned[[#This Row],[Final Perf_Score]]),Table8[],4,TRUE)))</f>
        <v>4069.84</v>
      </c>
      <c r="N29">
        <f>IF(base_cleaned[[#This Row],[Employment Status]]="LEFT",1,0)</f>
        <v>0</v>
      </c>
    </row>
    <row r="30" spans="1:14" x14ac:dyDescent="0.3">
      <c r="A30" t="s">
        <v>86</v>
      </c>
      <c r="B30" t="s">
        <v>43</v>
      </c>
      <c r="C30" t="s">
        <v>36</v>
      </c>
      <c r="D30" t="str">
        <f>base_cleaned[[#This Row],[First_Name]]&amp;" "&amp;base_cleaned[[#This Row],[Last_Name]]</f>
        <v>Michael Wilson</v>
      </c>
      <c r="E30" t="s">
        <v>26</v>
      </c>
      <c r="F30" t="str">
        <f>VLOOKUP(E:E,Table7[#All],2,FALSE)</f>
        <v>Finance</v>
      </c>
      <c r="G30" s="4">
        <v>43233</v>
      </c>
      <c r="H30" s="6">
        <f ca="1">INT(YEARFRAC(base_cleaned[[#This Row],[Hire Date]],TODAY()))</f>
        <v>8</v>
      </c>
      <c r="I30" t="s">
        <v>304</v>
      </c>
      <c r="J30" s="7">
        <v>85312</v>
      </c>
      <c r="K30">
        <v>66</v>
      </c>
      <c r="L30" t="str">
        <f>VLOOKUP((base_cleaned[[#This Row],[Final Perf_Score]]),Table8[],3,TRUE)</f>
        <v>Developing</v>
      </c>
      <c r="M30" s="7">
        <f>((base_cleaned[[#This Row],[Final Salary]]*VLOOKUP((base_cleaned[[#This Row],[Final Perf_Score]]),Table8[],4,TRUE)))</f>
        <v>1706.24</v>
      </c>
      <c r="N30">
        <f>IF(base_cleaned[[#This Row],[Employment Status]]="LEFT",1,0)</f>
        <v>0</v>
      </c>
    </row>
    <row r="31" spans="1:14" x14ac:dyDescent="0.3">
      <c r="A31" t="s">
        <v>89</v>
      </c>
      <c r="B31" t="s">
        <v>24</v>
      </c>
      <c r="C31" t="s">
        <v>41</v>
      </c>
      <c r="D31" t="str">
        <f>base_cleaned[[#This Row],[First_Name]]&amp;" "&amp;base_cleaned[[#This Row],[Last_Name]]</f>
        <v>John Rodriguez</v>
      </c>
      <c r="E31" t="s">
        <v>44</v>
      </c>
      <c r="F31" t="str">
        <f>VLOOKUP(E:E,Table7[#All],2,FALSE)</f>
        <v>Sales</v>
      </c>
      <c r="G31" s="4">
        <v>42202</v>
      </c>
      <c r="H31" s="6">
        <f ca="1">INT(YEARFRAC(base_cleaned[[#This Row],[Hire Date]],TODAY()))</f>
        <v>10</v>
      </c>
      <c r="I31" t="s">
        <v>304</v>
      </c>
      <c r="J31" s="7">
        <v>87283</v>
      </c>
      <c r="K31">
        <v>68</v>
      </c>
      <c r="L31" t="str">
        <f>VLOOKUP((base_cleaned[[#This Row],[Final Perf_Score]]),Table8[],3,TRUE)</f>
        <v>Developing</v>
      </c>
      <c r="M31" s="7">
        <f>((base_cleaned[[#This Row],[Final Salary]]*VLOOKUP((base_cleaned[[#This Row],[Final Perf_Score]]),Table8[],4,TRUE)))</f>
        <v>1745.66</v>
      </c>
      <c r="N31">
        <f>IF(base_cleaned[[#This Row],[Employment Status]]="LEFT",1,0)</f>
        <v>0</v>
      </c>
    </row>
    <row r="32" spans="1:14" x14ac:dyDescent="0.3">
      <c r="A32" t="s">
        <v>90</v>
      </c>
      <c r="B32" t="s">
        <v>28</v>
      </c>
      <c r="C32" t="s">
        <v>15</v>
      </c>
      <c r="D32" t="str">
        <f>base_cleaned[[#This Row],[First_Name]]&amp;" "&amp;base_cleaned[[#This Row],[Last_Name]]</f>
        <v>Thomas Hernandez</v>
      </c>
      <c r="E32" t="s">
        <v>33</v>
      </c>
      <c r="F32" t="str">
        <f>VLOOKUP(E:E,Table7[#All],2,FALSE)</f>
        <v>Operations</v>
      </c>
      <c r="G32" s="4">
        <v>42221</v>
      </c>
      <c r="H32" s="6">
        <f ca="1">INT(YEARFRAC(base_cleaned[[#This Row],[Hire Date]],TODAY()))</f>
        <v>10</v>
      </c>
      <c r="I32" t="s">
        <v>304</v>
      </c>
      <c r="J32" s="7">
        <v>97055</v>
      </c>
      <c r="K32">
        <v>80</v>
      </c>
      <c r="L32" t="str">
        <f>VLOOKUP((base_cleaned[[#This Row],[Final Perf_Score]]),Table8[],3,TRUE)</f>
        <v>Achieving</v>
      </c>
      <c r="M32" s="7">
        <f>((base_cleaned[[#This Row],[Final Salary]]*VLOOKUP((base_cleaned[[#This Row],[Final Perf_Score]]),Table8[],4,TRUE)))</f>
        <v>4852.75</v>
      </c>
      <c r="N32">
        <f>IF(base_cleaned[[#This Row],[Employment Status]]="LEFT",1,0)</f>
        <v>0</v>
      </c>
    </row>
    <row r="33" spans="1:14" x14ac:dyDescent="0.3">
      <c r="A33" t="s">
        <v>92</v>
      </c>
      <c r="B33" t="s">
        <v>43</v>
      </c>
      <c r="C33" t="s">
        <v>32</v>
      </c>
      <c r="D33" t="str">
        <f>base_cleaned[[#This Row],[First_Name]]&amp;" "&amp;base_cleaned[[#This Row],[Last_Name]]</f>
        <v>Michael Johnson</v>
      </c>
      <c r="E33" t="s">
        <v>11</v>
      </c>
      <c r="F33" t="str">
        <f>VLOOKUP(E:E,Table7[#All],2,FALSE)</f>
        <v>Information Technology</v>
      </c>
      <c r="G33" s="4">
        <v>45195</v>
      </c>
      <c r="H33" s="6">
        <f ca="1">INT(YEARFRAC(base_cleaned[[#This Row],[Hire Date]],TODAY()))</f>
        <v>2</v>
      </c>
      <c r="I33" t="s">
        <v>304</v>
      </c>
      <c r="J33" s="7">
        <v>66069</v>
      </c>
      <c r="K33">
        <v>72</v>
      </c>
      <c r="L33" t="str">
        <f>VLOOKUP((base_cleaned[[#This Row],[Final Perf_Score]]),Table8[],3,TRUE)</f>
        <v>Achieving</v>
      </c>
      <c r="M33" s="7">
        <f>((base_cleaned[[#This Row],[Final Salary]]*VLOOKUP((base_cleaned[[#This Row],[Final Perf_Score]]),Table8[],4,TRUE)))</f>
        <v>3303.4500000000003</v>
      </c>
      <c r="N33">
        <f>IF(base_cleaned[[#This Row],[Employment Status]]="LEFT",1,0)</f>
        <v>0</v>
      </c>
    </row>
    <row r="34" spans="1:14" x14ac:dyDescent="0.3">
      <c r="A34" t="s">
        <v>93</v>
      </c>
      <c r="B34" t="s">
        <v>94</v>
      </c>
      <c r="C34" t="s">
        <v>10</v>
      </c>
      <c r="D34" t="str">
        <f>base_cleaned[[#This Row],[First_Name]]&amp;" "&amp;base_cleaned[[#This Row],[Last_Name]]</f>
        <v>Sarah Brown</v>
      </c>
      <c r="E34" t="s">
        <v>11</v>
      </c>
      <c r="F34" t="str">
        <f>VLOOKUP(E:E,Table7[#All],2,FALSE)</f>
        <v>Information Technology</v>
      </c>
      <c r="G34" s="4">
        <v>43626</v>
      </c>
      <c r="H34" s="6">
        <f ca="1">INT(YEARFRAC(base_cleaned[[#This Row],[Hire Date]],TODAY()))</f>
        <v>7</v>
      </c>
      <c r="I34" t="s">
        <v>304</v>
      </c>
      <c r="J34" s="7">
        <v>90157</v>
      </c>
      <c r="K34">
        <v>58</v>
      </c>
      <c r="L34" t="str">
        <f>VLOOKUP((base_cleaned[[#This Row],[Final Perf_Score]]),Table8[],3,TRUE)</f>
        <v>Developing</v>
      </c>
      <c r="M34" s="7">
        <f>((base_cleaned[[#This Row],[Final Salary]]*VLOOKUP((base_cleaned[[#This Row],[Final Perf_Score]]),Table8[],4,TRUE)))</f>
        <v>1803.14</v>
      </c>
      <c r="N34">
        <f>IF(base_cleaned[[#This Row],[Employment Status]]="LEFT",1,0)</f>
        <v>0</v>
      </c>
    </row>
    <row r="35" spans="1:14" x14ac:dyDescent="0.3">
      <c r="A35" t="s">
        <v>96</v>
      </c>
      <c r="B35" t="s">
        <v>53</v>
      </c>
      <c r="C35" t="s">
        <v>25</v>
      </c>
      <c r="D35" t="str">
        <f>base_cleaned[[#This Row],[First_Name]]&amp;" "&amp;base_cleaned[[#This Row],[Last_Name]]</f>
        <v>Jane Martinez</v>
      </c>
      <c r="E35" t="s">
        <v>97</v>
      </c>
      <c r="F35" t="str">
        <f>VLOOKUP(E:E,Table7[#All],2,FALSE)</f>
        <v>Human Resources</v>
      </c>
      <c r="G35" s="4">
        <v>44578</v>
      </c>
      <c r="H35" s="6">
        <f ca="1">INT(YEARFRAC(base_cleaned[[#This Row],[Hire Date]],TODAY()))</f>
        <v>4</v>
      </c>
      <c r="I35" t="s">
        <v>304</v>
      </c>
      <c r="J35" s="7">
        <v>59899</v>
      </c>
      <c r="K35">
        <v>78</v>
      </c>
      <c r="L35" t="str">
        <f>VLOOKUP((base_cleaned[[#This Row],[Final Perf_Score]]),Table8[],3,TRUE)</f>
        <v>Achieving</v>
      </c>
      <c r="M35" s="7">
        <f>((base_cleaned[[#This Row],[Final Salary]]*VLOOKUP((base_cleaned[[#This Row],[Final Perf_Score]]),Table8[],4,TRUE)))</f>
        <v>2994.9500000000003</v>
      </c>
      <c r="N35">
        <f>IF(base_cleaned[[#This Row],[Employment Status]]="LEFT",1,0)</f>
        <v>0</v>
      </c>
    </row>
    <row r="36" spans="1:14" x14ac:dyDescent="0.3">
      <c r="A36" t="s">
        <v>98</v>
      </c>
      <c r="B36" t="s">
        <v>9</v>
      </c>
      <c r="C36" t="s">
        <v>60</v>
      </c>
      <c r="D36" t="str">
        <f>base_cleaned[[#This Row],[First_Name]]&amp;" "&amp;base_cleaned[[#This Row],[Last_Name]]</f>
        <v>Emily Jones</v>
      </c>
      <c r="E36" t="s">
        <v>26</v>
      </c>
      <c r="F36" t="str">
        <f>VLOOKUP(E:E,Table7[#All],2,FALSE)</f>
        <v>Finance</v>
      </c>
      <c r="G36" s="4">
        <v>42919</v>
      </c>
      <c r="H36" s="6">
        <f ca="1">INT(YEARFRAC(base_cleaned[[#This Row],[Hire Date]],TODAY()))</f>
        <v>9</v>
      </c>
      <c r="I36" t="s">
        <v>304</v>
      </c>
      <c r="J36" s="7">
        <v>113389</v>
      </c>
      <c r="K36">
        <v>30</v>
      </c>
      <c r="L36" t="str">
        <f>VLOOKUP((base_cleaned[[#This Row],[Final Perf_Score]]),Table8[],3,TRUE)</f>
        <v>Needs Improvement</v>
      </c>
      <c r="M36" s="7">
        <f>((base_cleaned[[#This Row],[Final Salary]]*VLOOKUP((base_cleaned[[#This Row],[Final Perf_Score]]),Table8[],4,TRUE)))</f>
        <v>0</v>
      </c>
      <c r="N36">
        <f>IF(base_cleaned[[#This Row],[Employment Status]]="LEFT",1,0)</f>
        <v>0</v>
      </c>
    </row>
    <row r="37" spans="1:14" x14ac:dyDescent="0.3">
      <c r="A37" t="s">
        <v>100</v>
      </c>
      <c r="C37" t="s">
        <v>10</v>
      </c>
      <c r="D37" t="str">
        <f>base_cleaned[[#This Row],[First_Name]]&amp;" "&amp;base_cleaned[[#This Row],[Last_Name]]</f>
        <v xml:space="preserve"> Brown</v>
      </c>
      <c r="E37" t="s">
        <v>11</v>
      </c>
      <c r="F37" t="str">
        <f>VLOOKUP(E:E,Table7[#All],2,FALSE)</f>
        <v>Information Technology</v>
      </c>
      <c r="G37" s="4">
        <v>42248</v>
      </c>
      <c r="H37" s="6">
        <f ca="1">INT(YEARFRAC(base_cleaned[[#This Row],[Hire Date]],TODAY()))</f>
        <v>10</v>
      </c>
      <c r="I37" t="s">
        <v>304</v>
      </c>
      <c r="J37" s="7">
        <v>102691</v>
      </c>
      <c r="K37">
        <v>52</v>
      </c>
      <c r="L37" t="str">
        <f>VLOOKUP((base_cleaned[[#This Row],[Final Perf_Score]]),Table8[],3,TRUE)</f>
        <v>Developing</v>
      </c>
      <c r="M37" s="7">
        <f>((base_cleaned[[#This Row],[Final Salary]]*VLOOKUP((base_cleaned[[#This Row],[Final Perf_Score]]),Table8[],4,TRUE)))</f>
        <v>2053.8200000000002</v>
      </c>
      <c r="N37">
        <f>IF(base_cleaned[[#This Row],[Employment Status]]="LEFT",1,0)</f>
        <v>0</v>
      </c>
    </row>
    <row r="38" spans="1:14" x14ac:dyDescent="0.3">
      <c r="A38" t="s">
        <v>102</v>
      </c>
      <c r="B38" t="s">
        <v>24</v>
      </c>
      <c r="C38" t="s">
        <v>36</v>
      </c>
      <c r="D38" t="str">
        <f>base_cleaned[[#This Row],[First_Name]]&amp;" "&amp;base_cleaned[[#This Row],[Last_Name]]</f>
        <v>John Wilson</v>
      </c>
      <c r="E38" t="s">
        <v>33</v>
      </c>
      <c r="F38" t="str">
        <f>VLOOKUP(E:E,Table7[#All],2,FALSE)</f>
        <v>Operations</v>
      </c>
      <c r="G38" s="4">
        <v>44776</v>
      </c>
      <c r="H38" s="6">
        <f ca="1">INT(YEARFRAC(base_cleaned[[#This Row],[Hire Date]],TODAY()))</f>
        <v>3</v>
      </c>
      <c r="I38" t="s">
        <v>304</v>
      </c>
      <c r="J38" s="7">
        <v>111845</v>
      </c>
      <c r="K38">
        <v>98</v>
      </c>
      <c r="L38" t="str">
        <f>VLOOKUP((base_cleaned[[#This Row],[Final Perf_Score]]),Table8[],3,TRUE)</f>
        <v>Outstanding</v>
      </c>
      <c r="M38" s="7">
        <f>((base_cleaned[[#This Row],[Final Salary]]*VLOOKUP((base_cleaned[[#This Row],[Final Perf_Score]]),Table8[],4,TRUE)))</f>
        <v>13421.4</v>
      </c>
      <c r="N38">
        <f>IF(base_cleaned[[#This Row],[Employment Status]]="LEFT",1,0)</f>
        <v>0</v>
      </c>
    </row>
    <row r="39" spans="1:14" x14ac:dyDescent="0.3">
      <c r="A39" t="s">
        <v>104</v>
      </c>
      <c r="B39" t="s">
        <v>105</v>
      </c>
      <c r="C39" t="s">
        <v>10</v>
      </c>
      <c r="D39" t="str">
        <f>base_cleaned[[#This Row],[First_Name]]&amp;" "&amp;base_cleaned[[#This Row],[Last_Name]]</f>
        <v>Melissa Brown</v>
      </c>
      <c r="E39" t="s">
        <v>44</v>
      </c>
      <c r="F39" t="str">
        <f>VLOOKUP(E:E,Table7[#All],2,FALSE)</f>
        <v>Sales</v>
      </c>
      <c r="G39" s="4">
        <v>44741</v>
      </c>
      <c r="H39" s="6">
        <f ca="1">INT(YEARFRAC(base_cleaned[[#This Row],[Hire Date]],TODAY()))</f>
        <v>4</v>
      </c>
      <c r="I39" t="s">
        <v>304</v>
      </c>
      <c r="J39" s="7">
        <v>69219</v>
      </c>
      <c r="K39">
        <v>93</v>
      </c>
      <c r="L39" t="str">
        <f>VLOOKUP((base_cleaned[[#This Row],[Final Perf_Score]]),Table8[],3,TRUE)</f>
        <v>Exceeding</v>
      </c>
      <c r="M39" s="7">
        <f>((base_cleaned[[#This Row],[Final Salary]]*VLOOKUP((base_cleaned[[#This Row],[Final Perf_Score]]),Table8[],4,TRUE)))</f>
        <v>5537.52</v>
      </c>
      <c r="N39">
        <f>IF(base_cleaned[[#This Row],[Employment Status]]="LEFT",1,0)</f>
        <v>0</v>
      </c>
    </row>
    <row r="40" spans="1:14" x14ac:dyDescent="0.3">
      <c r="A40" t="s">
        <v>107</v>
      </c>
      <c r="B40" t="s">
        <v>43</v>
      </c>
      <c r="C40" t="s">
        <v>29</v>
      </c>
      <c r="D40" t="str">
        <f>base_cleaned[[#This Row],[First_Name]]&amp;" "&amp;base_cleaned[[#This Row],[Last_Name]]</f>
        <v>Michael Smith</v>
      </c>
      <c r="E40" t="s">
        <v>26</v>
      </c>
      <c r="F40" t="str">
        <f>VLOOKUP(E:E,Table7[#All],2,FALSE)</f>
        <v>Finance</v>
      </c>
      <c r="G40" s="4">
        <v>43949</v>
      </c>
      <c r="H40" s="6">
        <f ca="1">INT(YEARFRAC(base_cleaned[[#This Row],[Hire Date]],TODAY()))</f>
        <v>6</v>
      </c>
      <c r="I40" t="s">
        <v>305</v>
      </c>
      <c r="J40" s="7">
        <v>87939</v>
      </c>
      <c r="K40">
        <v>80</v>
      </c>
      <c r="L40" t="str">
        <f>VLOOKUP((base_cleaned[[#This Row],[Final Perf_Score]]),Table8[],3,TRUE)</f>
        <v>Achieving</v>
      </c>
      <c r="M40" s="7">
        <f>((base_cleaned[[#This Row],[Final Salary]]*VLOOKUP((base_cleaned[[#This Row],[Final Perf_Score]]),Table8[],4,TRUE)))</f>
        <v>4396.95</v>
      </c>
      <c r="N40">
        <f>IF(base_cleaned[[#This Row],[Employment Status]]="LEFT",1,0)</f>
        <v>1</v>
      </c>
    </row>
    <row r="41" spans="1:14" x14ac:dyDescent="0.3">
      <c r="A41" t="s">
        <v>109</v>
      </c>
      <c r="B41" t="s">
        <v>94</v>
      </c>
      <c r="C41" t="s">
        <v>47</v>
      </c>
      <c r="D41" t="str">
        <f>base_cleaned[[#This Row],[First_Name]]&amp;" "&amp;base_cleaned[[#This Row],[Last_Name]]</f>
        <v>Sarah Miller</v>
      </c>
      <c r="E41" t="s">
        <v>33</v>
      </c>
      <c r="F41" t="str">
        <f>VLOOKUP(E:E,Table7[#All],2,FALSE)</f>
        <v>Operations</v>
      </c>
      <c r="G41" s="4">
        <v>42987</v>
      </c>
      <c r="H41" s="6">
        <f ca="1">INT(YEARFRAC(base_cleaned[[#This Row],[Hire Date]],TODAY()))</f>
        <v>8</v>
      </c>
      <c r="I41" t="s">
        <v>304</v>
      </c>
      <c r="J41" s="7">
        <v>57514</v>
      </c>
      <c r="K41">
        <v>71</v>
      </c>
      <c r="L41" t="str">
        <f>VLOOKUP((base_cleaned[[#This Row],[Final Perf_Score]]),Table8[],3,TRUE)</f>
        <v>Achieving</v>
      </c>
      <c r="M41" s="7">
        <f>((base_cleaned[[#This Row],[Final Salary]]*VLOOKUP((base_cleaned[[#This Row],[Final Perf_Score]]),Table8[],4,TRUE)))</f>
        <v>2875.7000000000003</v>
      </c>
      <c r="N41">
        <f>IF(base_cleaned[[#This Row],[Employment Status]]="LEFT",1,0)</f>
        <v>0</v>
      </c>
    </row>
    <row r="42" spans="1:14" x14ac:dyDescent="0.3">
      <c r="A42" t="s">
        <v>111</v>
      </c>
      <c r="B42" t="s">
        <v>9</v>
      </c>
      <c r="C42" t="s">
        <v>36</v>
      </c>
      <c r="D42" t="str">
        <f>base_cleaned[[#This Row],[First_Name]]&amp;" "&amp;base_cleaned[[#This Row],[Last_Name]]</f>
        <v>Emily Wilson</v>
      </c>
      <c r="E42" t="s">
        <v>44</v>
      </c>
      <c r="F42" t="str">
        <f>VLOOKUP(E:E,Table7[#All],2,FALSE)</f>
        <v>Sales</v>
      </c>
      <c r="G42" s="4">
        <v>43181</v>
      </c>
      <c r="H42" s="6">
        <f ca="1">INT(YEARFRAC(base_cleaned[[#This Row],[Hire Date]],TODAY()))</f>
        <v>8</v>
      </c>
      <c r="I42" t="s">
        <v>305</v>
      </c>
      <c r="J42" s="7">
        <v>86245</v>
      </c>
      <c r="K42">
        <v>71</v>
      </c>
      <c r="L42" t="str">
        <f>VLOOKUP((base_cleaned[[#This Row],[Final Perf_Score]]),Table8[],3,TRUE)</f>
        <v>Achieving</v>
      </c>
      <c r="M42" s="7">
        <f>((base_cleaned[[#This Row],[Final Salary]]*VLOOKUP((base_cleaned[[#This Row],[Final Perf_Score]]),Table8[],4,TRUE)))</f>
        <v>4312.25</v>
      </c>
      <c r="N42">
        <f>IF(base_cleaned[[#This Row],[Employment Status]]="LEFT",1,0)</f>
        <v>1</v>
      </c>
    </row>
    <row r="43" spans="1:14" x14ac:dyDescent="0.3">
      <c r="A43" t="s">
        <v>112</v>
      </c>
      <c r="B43" t="s">
        <v>113</v>
      </c>
      <c r="C43" t="s">
        <v>15</v>
      </c>
      <c r="D43" t="str">
        <f>base_cleaned[[#This Row],[First_Name]]&amp;" "&amp;base_cleaned[[#This Row],[Last_Name]]</f>
        <v>David Hernandez</v>
      </c>
      <c r="E43" t="s">
        <v>44</v>
      </c>
      <c r="F43" t="str">
        <f>VLOOKUP(E:E,Table7[#All],2,FALSE)</f>
        <v>Sales</v>
      </c>
      <c r="G43" s="4">
        <v>43958</v>
      </c>
      <c r="H43" s="6">
        <f ca="1">INT(YEARFRAC(base_cleaned[[#This Row],[Hire Date]],TODAY()))</f>
        <v>6</v>
      </c>
      <c r="I43" t="s">
        <v>304</v>
      </c>
      <c r="J43" s="7">
        <v>52407</v>
      </c>
      <c r="K43">
        <v>55</v>
      </c>
      <c r="L43" t="str">
        <f>VLOOKUP((base_cleaned[[#This Row],[Final Perf_Score]]),Table8[],3,TRUE)</f>
        <v>Developing</v>
      </c>
      <c r="M43" s="7">
        <f>((base_cleaned[[#This Row],[Final Salary]]*VLOOKUP((base_cleaned[[#This Row],[Final Perf_Score]]),Table8[],4,TRUE)))</f>
        <v>1048.1400000000001</v>
      </c>
      <c r="N43">
        <f>IF(base_cleaned[[#This Row],[Employment Status]]="LEFT",1,0)</f>
        <v>0</v>
      </c>
    </row>
    <row r="44" spans="1:14" x14ac:dyDescent="0.3">
      <c r="A44" t="s">
        <v>114</v>
      </c>
      <c r="B44" t="s">
        <v>66</v>
      </c>
      <c r="C44" t="s">
        <v>29</v>
      </c>
      <c r="D44" t="str">
        <f>base_cleaned[[#This Row],[First_Name]]&amp;" "&amp;base_cleaned[[#This Row],[Last_Name]]</f>
        <v>James Smith</v>
      </c>
      <c r="E44" t="s">
        <v>33</v>
      </c>
      <c r="F44" t="str">
        <f>VLOOKUP(E:E,Table7[#All],2,FALSE)</f>
        <v>Operations</v>
      </c>
      <c r="G44" s="4">
        <v>43549</v>
      </c>
      <c r="H44" s="6">
        <f ca="1">INT(YEARFRAC(base_cleaned[[#This Row],[Hire Date]],TODAY()))</f>
        <v>7</v>
      </c>
      <c r="I44" t="s">
        <v>305</v>
      </c>
      <c r="J44" s="7">
        <v>66606</v>
      </c>
      <c r="K44">
        <v>93</v>
      </c>
      <c r="L44" t="str">
        <f>VLOOKUP((base_cleaned[[#This Row],[Final Perf_Score]]),Table8[],3,TRUE)</f>
        <v>Exceeding</v>
      </c>
      <c r="M44" s="7">
        <f>((base_cleaned[[#This Row],[Final Salary]]*VLOOKUP((base_cleaned[[#This Row],[Final Perf_Score]]),Table8[],4,TRUE)))</f>
        <v>5328.4800000000005</v>
      </c>
      <c r="N44">
        <f>IF(base_cleaned[[#This Row],[Employment Status]]="LEFT",1,0)</f>
        <v>1</v>
      </c>
    </row>
    <row r="45" spans="1:14" x14ac:dyDescent="0.3">
      <c r="A45" t="s">
        <v>117</v>
      </c>
      <c r="B45" t="s">
        <v>94</v>
      </c>
      <c r="C45" t="s">
        <v>54</v>
      </c>
      <c r="D45" t="str">
        <f>base_cleaned[[#This Row],[First_Name]]&amp;" "&amp;base_cleaned[[#This Row],[Last_Name]]</f>
        <v>Sarah Williams</v>
      </c>
      <c r="E45" t="s">
        <v>11</v>
      </c>
      <c r="F45" t="str">
        <f>VLOOKUP(E:E,Table7[#All],2,FALSE)</f>
        <v>Information Technology</v>
      </c>
      <c r="G45" s="4">
        <v>43686</v>
      </c>
      <c r="H45" s="6">
        <f ca="1">INT(YEARFRAC(base_cleaned[[#This Row],[Hire Date]],TODAY()))</f>
        <v>6</v>
      </c>
      <c r="I45" t="s">
        <v>305</v>
      </c>
      <c r="J45" s="7">
        <v>81896</v>
      </c>
      <c r="K45">
        <v>79</v>
      </c>
      <c r="L45" t="str">
        <f>VLOOKUP((base_cleaned[[#This Row],[Final Perf_Score]]),Table8[],3,TRUE)</f>
        <v>Achieving</v>
      </c>
      <c r="M45" s="7">
        <f>((base_cleaned[[#This Row],[Final Salary]]*VLOOKUP((base_cleaned[[#This Row],[Final Perf_Score]]),Table8[],4,TRUE)))</f>
        <v>4094.8</v>
      </c>
      <c r="N45">
        <f>IF(base_cleaned[[#This Row],[Employment Status]]="LEFT",1,0)</f>
        <v>1</v>
      </c>
    </row>
    <row r="46" spans="1:14" x14ac:dyDescent="0.3">
      <c r="A46" t="s">
        <v>118</v>
      </c>
      <c r="B46" t="s">
        <v>71</v>
      </c>
      <c r="C46" t="s">
        <v>69</v>
      </c>
      <c r="D46" t="str">
        <f>base_cleaned[[#This Row],[First_Name]]&amp;" "&amp;base_cleaned[[#This Row],[Last_Name]]</f>
        <v>Amanda Lopez</v>
      </c>
      <c r="E46" t="s">
        <v>44</v>
      </c>
      <c r="F46" t="str">
        <f>VLOOKUP(E:E,Table7[#All],2,FALSE)</f>
        <v>Sales</v>
      </c>
      <c r="G46" s="4">
        <v>42565</v>
      </c>
      <c r="H46" s="6">
        <f ca="1">INT(YEARFRAC(base_cleaned[[#This Row],[Hire Date]],TODAY()))</f>
        <v>9</v>
      </c>
      <c r="I46" t="s">
        <v>304</v>
      </c>
      <c r="J46" s="7">
        <v>78402</v>
      </c>
      <c r="K46">
        <v>54</v>
      </c>
      <c r="L46" t="str">
        <f>VLOOKUP((base_cleaned[[#This Row],[Final Perf_Score]]),Table8[],3,TRUE)</f>
        <v>Developing</v>
      </c>
      <c r="M46" s="7">
        <f>((base_cleaned[[#This Row],[Final Salary]]*VLOOKUP((base_cleaned[[#This Row],[Final Perf_Score]]),Table8[],4,TRUE)))</f>
        <v>1568.04</v>
      </c>
      <c r="N46">
        <f>IF(base_cleaned[[#This Row],[Employment Status]]="LEFT",1,0)</f>
        <v>0</v>
      </c>
    </row>
    <row r="47" spans="1:14" x14ac:dyDescent="0.3">
      <c r="A47" t="s">
        <v>120</v>
      </c>
      <c r="B47" t="s">
        <v>28</v>
      </c>
      <c r="C47" t="s">
        <v>69</v>
      </c>
      <c r="D47" t="str">
        <f>base_cleaned[[#This Row],[First_Name]]&amp;" "&amp;base_cleaned[[#This Row],[Last_Name]]</f>
        <v>Thomas Lopez</v>
      </c>
      <c r="E47" t="s">
        <v>33</v>
      </c>
      <c r="F47" t="str">
        <f>VLOOKUP(E:E,Table7[#All],2,FALSE)</f>
        <v>Operations</v>
      </c>
      <c r="G47" s="4">
        <v>42647</v>
      </c>
      <c r="H47" s="6">
        <f ca="1">INT(YEARFRAC(base_cleaned[[#This Row],[Hire Date]],TODAY()))</f>
        <v>9</v>
      </c>
      <c r="I47" t="s">
        <v>304</v>
      </c>
      <c r="J47" s="7">
        <v>105498</v>
      </c>
      <c r="K47">
        <v>76</v>
      </c>
      <c r="L47" t="str">
        <f>VLOOKUP((base_cleaned[[#This Row],[Final Perf_Score]]),Table8[],3,TRUE)</f>
        <v>Achieving</v>
      </c>
      <c r="M47" s="7">
        <f>((base_cleaned[[#This Row],[Final Salary]]*VLOOKUP((base_cleaned[[#This Row],[Final Perf_Score]]),Table8[],4,TRUE)))</f>
        <v>5274.9000000000005</v>
      </c>
      <c r="N47">
        <f>IF(base_cleaned[[#This Row],[Employment Status]]="LEFT",1,0)</f>
        <v>0</v>
      </c>
    </row>
    <row r="48" spans="1:14" x14ac:dyDescent="0.3">
      <c r="A48" t="s">
        <v>121</v>
      </c>
      <c r="B48" t="s">
        <v>105</v>
      </c>
      <c r="C48" t="s">
        <v>32</v>
      </c>
      <c r="D48" t="str">
        <f>base_cleaned[[#This Row],[First_Name]]&amp;" "&amp;base_cleaned[[#This Row],[Last_Name]]</f>
        <v>Melissa Johnson</v>
      </c>
      <c r="E48" t="s">
        <v>16</v>
      </c>
      <c r="F48" t="str">
        <f>VLOOKUP(E:E,Table7[#All],2,FALSE)</f>
        <v>Marketing</v>
      </c>
      <c r="G48" s="4">
        <v>43656</v>
      </c>
      <c r="H48" s="6">
        <f ca="1">INT(YEARFRAC(base_cleaned[[#This Row],[Hire Date]],TODAY()))</f>
        <v>6</v>
      </c>
      <c r="I48" t="s">
        <v>305</v>
      </c>
      <c r="J48" s="7">
        <v>91749</v>
      </c>
      <c r="K48">
        <v>72</v>
      </c>
      <c r="L48" t="str">
        <f>VLOOKUP((base_cleaned[[#This Row],[Final Perf_Score]]),Table8[],3,TRUE)</f>
        <v>Achieving</v>
      </c>
      <c r="M48" s="7">
        <f>((base_cleaned[[#This Row],[Final Salary]]*VLOOKUP((base_cleaned[[#This Row],[Final Perf_Score]]),Table8[],4,TRUE)))</f>
        <v>4587.45</v>
      </c>
      <c r="N48">
        <f>IF(base_cleaned[[#This Row],[Employment Status]]="LEFT",1,0)</f>
        <v>1</v>
      </c>
    </row>
    <row r="49" spans="1:14" x14ac:dyDescent="0.3">
      <c r="A49" t="s">
        <v>123</v>
      </c>
      <c r="B49" t="s">
        <v>71</v>
      </c>
      <c r="C49" t="s">
        <v>32</v>
      </c>
      <c r="D49" t="str">
        <f>base_cleaned[[#This Row],[First_Name]]&amp;" "&amp;base_cleaned[[#This Row],[Last_Name]]</f>
        <v>Amanda Johnson</v>
      </c>
      <c r="E49" t="s">
        <v>33</v>
      </c>
      <c r="F49" t="str">
        <f>VLOOKUP(E:E,Table7[#All],2,FALSE)</f>
        <v>Operations</v>
      </c>
      <c r="G49" s="4">
        <v>44437</v>
      </c>
      <c r="H49" s="6">
        <f ca="1">INT(YEARFRAC(base_cleaned[[#This Row],[Hire Date]],TODAY()))</f>
        <v>4</v>
      </c>
      <c r="I49" t="s">
        <v>305</v>
      </c>
      <c r="J49" s="7">
        <v>99935</v>
      </c>
      <c r="K49">
        <v>84</v>
      </c>
      <c r="L49" t="str">
        <f>VLOOKUP((base_cleaned[[#This Row],[Final Perf_Score]]),Table8[],3,TRUE)</f>
        <v>Achieving</v>
      </c>
      <c r="M49" s="7">
        <f>((base_cleaned[[#This Row],[Final Salary]]*VLOOKUP((base_cleaned[[#This Row],[Final Perf_Score]]),Table8[],4,TRUE)))</f>
        <v>4996.75</v>
      </c>
      <c r="N49">
        <f>IF(base_cleaned[[#This Row],[Employment Status]]="LEFT",1,0)</f>
        <v>1</v>
      </c>
    </row>
    <row r="50" spans="1:14" x14ac:dyDescent="0.3">
      <c r="A50" t="s">
        <v>124</v>
      </c>
      <c r="B50" t="s">
        <v>24</v>
      </c>
      <c r="C50" t="s">
        <v>64</v>
      </c>
      <c r="D50" t="str">
        <f>base_cleaned[[#This Row],[First_Name]]&amp;" "&amp;base_cleaned[[#This Row],[Last_Name]]</f>
        <v>John Davis</v>
      </c>
      <c r="E50" t="s">
        <v>11</v>
      </c>
      <c r="F50" t="str">
        <f>VLOOKUP(E:E,Table7[#All],2,FALSE)</f>
        <v>Information Technology</v>
      </c>
      <c r="G50" s="4">
        <v>42761</v>
      </c>
      <c r="H50" s="6">
        <f ca="1">INT(YEARFRAC(base_cleaned[[#This Row],[Hire Date]],TODAY()))</f>
        <v>9</v>
      </c>
      <c r="I50" t="s">
        <v>305</v>
      </c>
      <c r="J50" s="7">
        <v>83531</v>
      </c>
      <c r="K50">
        <v>30</v>
      </c>
      <c r="L50" t="str">
        <f>VLOOKUP((base_cleaned[[#This Row],[Final Perf_Score]]),Table8[],3,TRUE)</f>
        <v>Needs Improvement</v>
      </c>
      <c r="M50" s="7">
        <f>((base_cleaned[[#This Row],[Final Salary]]*VLOOKUP((base_cleaned[[#This Row],[Final Perf_Score]]),Table8[],4,TRUE)))</f>
        <v>0</v>
      </c>
      <c r="N50">
        <f>IF(base_cleaned[[#This Row],[Employment Status]]="LEFT",1,0)</f>
        <v>1</v>
      </c>
    </row>
    <row r="51" spans="1:14" x14ac:dyDescent="0.3">
      <c r="A51" t="s">
        <v>125</v>
      </c>
      <c r="B51" t="s">
        <v>66</v>
      </c>
      <c r="C51" t="s">
        <v>32</v>
      </c>
      <c r="D51" t="str">
        <f>base_cleaned[[#This Row],[First_Name]]&amp;" "&amp;base_cleaned[[#This Row],[Last_Name]]</f>
        <v>James Johnson</v>
      </c>
      <c r="E51" t="s">
        <v>16</v>
      </c>
      <c r="F51" t="str">
        <f>VLOOKUP(E:E,Table7[#All],2,FALSE)</f>
        <v>Marketing</v>
      </c>
      <c r="G51" s="4">
        <v>43981</v>
      </c>
      <c r="H51" s="6">
        <f ca="1">INT(YEARFRAC(base_cleaned[[#This Row],[Hire Date]],TODAY()))</f>
        <v>6</v>
      </c>
      <c r="I51" t="s">
        <v>304</v>
      </c>
      <c r="J51" s="7">
        <v>75023</v>
      </c>
      <c r="K51">
        <v>75</v>
      </c>
      <c r="L51" t="str">
        <f>VLOOKUP((base_cleaned[[#This Row],[Final Perf_Score]]),Table8[],3,TRUE)</f>
        <v>Achieving</v>
      </c>
      <c r="M51" s="7">
        <f>((base_cleaned[[#This Row],[Final Salary]]*VLOOKUP((base_cleaned[[#This Row],[Final Perf_Score]]),Table8[],4,TRUE)))</f>
        <v>3751.15</v>
      </c>
      <c r="N51">
        <f>IF(base_cleaned[[#This Row],[Employment Status]]="LEFT",1,0)</f>
        <v>0</v>
      </c>
    </row>
    <row r="52" spans="1:14" x14ac:dyDescent="0.3">
      <c r="A52" t="s">
        <v>127</v>
      </c>
      <c r="B52" t="s">
        <v>53</v>
      </c>
      <c r="C52" t="s">
        <v>64</v>
      </c>
      <c r="D52" t="str">
        <f>base_cleaned[[#This Row],[First_Name]]&amp;" "&amp;base_cleaned[[#This Row],[Last_Name]]</f>
        <v>Jane Davis</v>
      </c>
      <c r="E52" t="s">
        <v>97</v>
      </c>
      <c r="F52" t="str">
        <f>VLOOKUP(E:E,Table7[#All],2,FALSE)</f>
        <v>Human Resources</v>
      </c>
      <c r="G52" s="4">
        <v>44612</v>
      </c>
      <c r="H52" s="6">
        <f ca="1">INT(YEARFRAC(base_cleaned[[#This Row],[Hire Date]],TODAY()))</f>
        <v>4</v>
      </c>
      <c r="I52" t="s">
        <v>304</v>
      </c>
      <c r="J52" s="7">
        <v>93290</v>
      </c>
      <c r="K52">
        <v>53</v>
      </c>
      <c r="L52" t="str">
        <f>VLOOKUP((base_cleaned[[#This Row],[Final Perf_Score]]),Table8[],3,TRUE)</f>
        <v>Developing</v>
      </c>
      <c r="M52" s="7">
        <f>((base_cleaned[[#This Row],[Final Salary]]*VLOOKUP((base_cleaned[[#This Row],[Final Perf_Score]]),Table8[],4,TRUE)))</f>
        <v>1865.8</v>
      </c>
      <c r="N52">
        <f>IF(base_cleaned[[#This Row],[Employment Status]]="LEFT",1,0)</f>
        <v>0</v>
      </c>
    </row>
    <row r="53" spans="1:14" x14ac:dyDescent="0.3">
      <c r="A53" t="s">
        <v>128</v>
      </c>
      <c r="B53" t="s">
        <v>14</v>
      </c>
      <c r="C53" t="s">
        <v>64</v>
      </c>
      <c r="D53" t="str">
        <f>base_cleaned[[#This Row],[First_Name]]&amp;" "&amp;base_cleaned[[#This Row],[Last_Name]]</f>
        <v>Richard Davis</v>
      </c>
      <c r="E53" t="s">
        <v>33</v>
      </c>
      <c r="F53" t="str">
        <f>VLOOKUP(E:E,Table7[#All],2,FALSE)</f>
        <v>Operations</v>
      </c>
      <c r="G53" s="4">
        <v>42628</v>
      </c>
      <c r="H53" s="6">
        <f ca="1">INT(YEARFRAC(base_cleaned[[#This Row],[Hire Date]],TODAY()))</f>
        <v>9</v>
      </c>
      <c r="I53" t="s">
        <v>305</v>
      </c>
      <c r="J53" s="7">
        <v>115527</v>
      </c>
      <c r="K53">
        <v>63</v>
      </c>
      <c r="L53" t="str">
        <f>VLOOKUP((base_cleaned[[#This Row],[Final Perf_Score]]),Table8[],3,TRUE)</f>
        <v>Developing</v>
      </c>
      <c r="M53" s="7">
        <f>((base_cleaned[[#This Row],[Final Salary]]*VLOOKUP((base_cleaned[[#This Row],[Final Perf_Score]]),Table8[],4,TRUE)))</f>
        <v>2310.54</v>
      </c>
      <c r="N53">
        <f>IF(base_cleaned[[#This Row],[Employment Status]]="LEFT",1,0)</f>
        <v>1</v>
      </c>
    </row>
    <row r="54" spans="1:14" x14ac:dyDescent="0.3">
      <c r="A54" t="s">
        <v>129</v>
      </c>
      <c r="B54" t="s">
        <v>28</v>
      </c>
      <c r="C54" t="s">
        <v>41</v>
      </c>
      <c r="D54" t="str">
        <f>base_cleaned[[#This Row],[First_Name]]&amp;" "&amp;base_cleaned[[#This Row],[Last_Name]]</f>
        <v>Thomas Rodriguez</v>
      </c>
      <c r="E54" t="s">
        <v>26</v>
      </c>
      <c r="F54" t="str">
        <f>VLOOKUP(E:E,Table7[#All],2,FALSE)</f>
        <v>Finance</v>
      </c>
      <c r="G54" s="4">
        <v>43745</v>
      </c>
      <c r="H54" s="6">
        <f ca="1">INT(YEARFRAC(base_cleaned[[#This Row],[Hire Date]],TODAY()))</f>
        <v>6</v>
      </c>
      <c r="I54" t="s">
        <v>304</v>
      </c>
      <c r="J54" s="7">
        <v>55920</v>
      </c>
      <c r="K54">
        <v>84</v>
      </c>
      <c r="L54" t="str">
        <f>VLOOKUP((base_cleaned[[#This Row],[Final Perf_Score]]),Table8[],3,TRUE)</f>
        <v>Achieving</v>
      </c>
      <c r="M54" s="7">
        <f>((base_cleaned[[#This Row],[Final Salary]]*VLOOKUP((base_cleaned[[#This Row],[Final Perf_Score]]),Table8[],4,TRUE)))</f>
        <v>2796</v>
      </c>
      <c r="N54">
        <f>IF(base_cleaned[[#This Row],[Employment Status]]="LEFT",1,0)</f>
        <v>0</v>
      </c>
    </row>
    <row r="55" spans="1:14" x14ac:dyDescent="0.3">
      <c r="A55" t="s">
        <v>131</v>
      </c>
      <c r="B55" t="s">
        <v>9</v>
      </c>
      <c r="C55" t="s">
        <v>32</v>
      </c>
      <c r="D55" t="str">
        <f>base_cleaned[[#This Row],[First_Name]]&amp;" "&amp;base_cleaned[[#This Row],[Last_Name]]</f>
        <v>Emily Johnson</v>
      </c>
      <c r="E55" t="s">
        <v>44</v>
      </c>
      <c r="F55" t="str">
        <f>VLOOKUP(E:E,Table7[#All],2,FALSE)</f>
        <v>Sales</v>
      </c>
      <c r="G55" s="4">
        <v>43464</v>
      </c>
      <c r="H55" s="6">
        <f ca="1">INT(YEARFRAC(base_cleaned[[#This Row],[Hire Date]],TODAY()))</f>
        <v>7</v>
      </c>
      <c r="I55" t="s">
        <v>304</v>
      </c>
      <c r="J55" s="7">
        <v>80189</v>
      </c>
      <c r="K55">
        <v>30</v>
      </c>
      <c r="L55" t="str">
        <f>VLOOKUP((base_cleaned[[#This Row],[Final Perf_Score]]),Table8[],3,TRUE)</f>
        <v>Needs Improvement</v>
      </c>
      <c r="M55" s="7">
        <f>((base_cleaned[[#This Row],[Final Salary]]*VLOOKUP((base_cleaned[[#This Row],[Final Perf_Score]]),Table8[],4,TRUE)))</f>
        <v>0</v>
      </c>
      <c r="N55">
        <f>IF(base_cleaned[[#This Row],[Employment Status]]="LEFT",1,0)</f>
        <v>0</v>
      </c>
    </row>
    <row r="56" spans="1:14" x14ac:dyDescent="0.3">
      <c r="A56" t="s">
        <v>132</v>
      </c>
      <c r="B56" t="s">
        <v>9</v>
      </c>
      <c r="C56" t="s">
        <v>133</v>
      </c>
      <c r="D56" t="str">
        <f>base_cleaned[[#This Row],[First_Name]]&amp;" "&amp;base_cleaned[[#This Row],[Last_Name]]</f>
        <v>Emily Garcia</v>
      </c>
      <c r="E56" t="s">
        <v>97</v>
      </c>
      <c r="F56" t="str">
        <f>VLOOKUP(E:E,Table7[#All],2,FALSE)</f>
        <v>Human Resources</v>
      </c>
      <c r="G56" s="4">
        <v>44189</v>
      </c>
      <c r="H56" s="6">
        <f ca="1">INT(YEARFRAC(base_cleaned[[#This Row],[Hire Date]],TODAY()))</f>
        <v>5</v>
      </c>
      <c r="I56" t="s">
        <v>304</v>
      </c>
      <c r="J56" s="7">
        <v>118947</v>
      </c>
      <c r="K56">
        <v>96</v>
      </c>
      <c r="L56" t="str">
        <f>VLOOKUP((base_cleaned[[#This Row],[Final Perf_Score]]),Table8[],3,TRUE)</f>
        <v>Outstanding</v>
      </c>
      <c r="M56" s="7">
        <f>((base_cleaned[[#This Row],[Final Salary]]*VLOOKUP((base_cleaned[[#This Row],[Final Perf_Score]]),Table8[],4,TRUE)))</f>
        <v>14273.64</v>
      </c>
      <c r="N56">
        <f>IF(base_cleaned[[#This Row],[Employment Status]]="LEFT",1,0)</f>
        <v>0</v>
      </c>
    </row>
    <row r="57" spans="1:14" x14ac:dyDescent="0.3">
      <c r="A57" t="s">
        <v>134</v>
      </c>
      <c r="B57" t="s">
        <v>53</v>
      </c>
      <c r="C57" t="s">
        <v>135</v>
      </c>
      <c r="D57" t="str">
        <f>base_cleaned[[#This Row],[First_Name]]&amp;" "&amp;base_cleaned[[#This Row],[Last_Name]]</f>
        <v>Jane Anderson</v>
      </c>
      <c r="E57" t="s">
        <v>11</v>
      </c>
      <c r="F57" t="str">
        <f>VLOOKUP(E:E,Table7[#All],2,FALSE)</f>
        <v>Information Technology</v>
      </c>
      <c r="G57" s="4">
        <v>45112</v>
      </c>
      <c r="H57" s="6">
        <f ca="1">INT(YEARFRAC(base_cleaned[[#This Row],[Hire Date]],TODAY()))</f>
        <v>3</v>
      </c>
      <c r="I57" t="s">
        <v>304</v>
      </c>
      <c r="J57" s="7">
        <v>80015</v>
      </c>
      <c r="K57">
        <v>54</v>
      </c>
      <c r="L57" t="str">
        <f>VLOOKUP((base_cleaned[[#This Row],[Final Perf_Score]]),Table8[],3,TRUE)</f>
        <v>Developing</v>
      </c>
      <c r="M57" s="7">
        <f>((base_cleaned[[#This Row],[Final Salary]]*VLOOKUP((base_cleaned[[#This Row],[Final Perf_Score]]),Table8[],4,TRUE)))</f>
        <v>1600.3</v>
      </c>
      <c r="N57">
        <f>IF(base_cleaned[[#This Row],[Employment Status]]="LEFT",1,0)</f>
        <v>0</v>
      </c>
    </row>
    <row r="58" spans="1:14" x14ac:dyDescent="0.3">
      <c r="A58" t="s">
        <v>136</v>
      </c>
      <c r="B58" t="s">
        <v>28</v>
      </c>
      <c r="C58" t="s">
        <v>133</v>
      </c>
      <c r="D58" t="str">
        <f>base_cleaned[[#This Row],[First_Name]]&amp;" "&amp;base_cleaned[[#This Row],[Last_Name]]</f>
        <v>Thomas Garcia</v>
      </c>
      <c r="E58" t="s">
        <v>33</v>
      </c>
      <c r="F58" t="str">
        <f>VLOOKUP(E:E,Table7[#All],2,FALSE)</f>
        <v>Operations</v>
      </c>
      <c r="G58" s="4">
        <v>44148</v>
      </c>
      <c r="H58" s="6">
        <f ca="1">INT(YEARFRAC(base_cleaned[[#This Row],[Hire Date]],TODAY()))</f>
        <v>5</v>
      </c>
      <c r="I58" t="s">
        <v>304</v>
      </c>
      <c r="J58" s="7">
        <v>79787</v>
      </c>
      <c r="K58">
        <v>75</v>
      </c>
      <c r="L58" t="str">
        <f>VLOOKUP((base_cleaned[[#This Row],[Final Perf_Score]]),Table8[],3,TRUE)</f>
        <v>Achieving</v>
      </c>
      <c r="M58" s="7">
        <f>((base_cleaned[[#This Row],[Final Salary]]*VLOOKUP((base_cleaned[[#This Row],[Final Perf_Score]]),Table8[],4,TRUE)))</f>
        <v>3989.3500000000004</v>
      </c>
      <c r="N58">
        <f>IF(base_cleaned[[#This Row],[Employment Status]]="LEFT",1,0)</f>
        <v>0</v>
      </c>
    </row>
    <row r="59" spans="1:14" x14ac:dyDescent="0.3">
      <c r="A59" t="s">
        <v>137</v>
      </c>
      <c r="B59" t="s">
        <v>113</v>
      </c>
      <c r="C59" t="s">
        <v>25</v>
      </c>
      <c r="D59" t="str">
        <f>base_cleaned[[#This Row],[First_Name]]&amp;" "&amp;base_cleaned[[#This Row],[Last_Name]]</f>
        <v>David Martinez</v>
      </c>
      <c r="E59" t="s">
        <v>97</v>
      </c>
      <c r="F59" t="str">
        <f>VLOOKUP(E:E,Table7[#All],2,FALSE)</f>
        <v>Human Resources</v>
      </c>
      <c r="G59" s="4">
        <v>43138</v>
      </c>
      <c r="H59" s="6">
        <f ca="1">INT(YEARFRAC(base_cleaned[[#This Row],[Hire Date]],TODAY()))</f>
        <v>8</v>
      </c>
      <c r="I59" t="s">
        <v>304</v>
      </c>
      <c r="J59" s="7">
        <v>91655</v>
      </c>
      <c r="K59">
        <v>95</v>
      </c>
      <c r="L59" t="str">
        <f>VLOOKUP((base_cleaned[[#This Row],[Final Perf_Score]]),Table8[],3,TRUE)</f>
        <v>Outstanding</v>
      </c>
      <c r="M59" s="7">
        <f>((base_cleaned[[#This Row],[Final Salary]]*VLOOKUP((base_cleaned[[#This Row],[Final Perf_Score]]),Table8[],4,TRUE)))</f>
        <v>10998.6</v>
      </c>
      <c r="N59">
        <f>IF(base_cleaned[[#This Row],[Employment Status]]="LEFT",1,0)</f>
        <v>0</v>
      </c>
    </row>
    <row r="60" spans="1:14" x14ac:dyDescent="0.3">
      <c r="A60" t="s">
        <v>140</v>
      </c>
      <c r="B60" t="s">
        <v>9</v>
      </c>
      <c r="C60" t="s">
        <v>10</v>
      </c>
      <c r="D60" t="str">
        <f>base_cleaned[[#This Row],[First_Name]]&amp;" "&amp;base_cleaned[[#This Row],[Last_Name]]</f>
        <v>Emily Brown</v>
      </c>
      <c r="E60" t="s">
        <v>11</v>
      </c>
      <c r="F60" t="str">
        <f>VLOOKUP(E:E,Table7[#All],2,FALSE)</f>
        <v>Information Technology</v>
      </c>
      <c r="G60" s="4">
        <v>45255</v>
      </c>
      <c r="H60" s="6">
        <f ca="1">INT(YEARFRAC(base_cleaned[[#This Row],[Hire Date]],TODAY()))</f>
        <v>2</v>
      </c>
      <c r="I60" t="s">
        <v>305</v>
      </c>
      <c r="J60" s="7">
        <v>49435</v>
      </c>
      <c r="K60">
        <v>66</v>
      </c>
      <c r="L60" t="str">
        <f>VLOOKUP((base_cleaned[[#This Row],[Final Perf_Score]]),Table8[],3,TRUE)</f>
        <v>Developing</v>
      </c>
      <c r="M60" s="7">
        <f>((base_cleaned[[#This Row],[Final Salary]]*VLOOKUP((base_cleaned[[#This Row],[Final Perf_Score]]),Table8[],4,TRUE)))</f>
        <v>988.7</v>
      </c>
      <c r="N60">
        <f>IF(base_cleaned[[#This Row],[Employment Status]]="LEFT",1,0)</f>
        <v>1</v>
      </c>
    </row>
    <row r="61" spans="1:14" x14ac:dyDescent="0.3">
      <c r="A61" t="s">
        <v>141</v>
      </c>
      <c r="B61" t="s">
        <v>9</v>
      </c>
      <c r="C61" t="s">
        <v>36</v>
      </c>
      <c r="D61" t="str">
        <f>base_cleaned[[#This Row],[First_Name]]&amp;" "&amp;base_cleaned[[#This Row],[Last_Name]]</f>
        <v>Emily Wilson</v>
      </c>
      <c r="E61" t="s">
        <v>44</v>
      </c>
      <c r="F61" t="str">
        <f>VLOOKUP(E:E,Table7[#All],2,FALSE)</f>
        <v>Sales</v>
      </c>
      <c r="G61" s="4">
        <v>45217</v>
      </c>
      <c r="H61" s="6">
        <f ca="1">INT(YEARFRAC(base_cleaned[[#This Row],[Hire Date]],TODAY()))</f>
        <v>2</v>
      </c>
      <c r="I61" t="s">
        <v>304</v>
      </c>
      <c r="J61" s="7">
        <v>110381</v>
      </c>
      <c r="K61">
        <v>93</v>
      </c>
      <c r="L61" t="str">
        <f>VLOOKUP((base_cleaned[[#This Row],[Final Perf_Score]]),Table8[],3,TRUE)</f>
        <v>Exceeding</v>
      </c>
      <c r="M61" s="7">
        <f>((base_cleaned[[#This Row],[Final Salary]]*VLOOKUP((base_cleaned[[#This Row],[Final Perf_Score]]),Table8[],4,TRUE)))</f>
        <v>8830.48</v>
      </c>
      <c r="N61">
        <f>IF(base_cleaned[[#This Row],[Employment Status]]="LEFT",1,0)</f>
        <v>0</v>
      </c>
    </row>
    <row r="62" spans="1:14" x14ac:dyDescent="0.3">
      <c r="A62" t="s">
        <v>142</v>
      </c>
      <c r="B62" t="s">
        <v>43</v>
      </c>
      <c r="C62" t="s">
        <v>135</v>
      </c>
      <c r="D62" t="str">
        <f>base_cleaned[[#This Row],[First_Name]]&amp;" "&amp;base_cleaned[[#This Row],[Last_Name]]</f>
        <v>Michael Anderson</v>
      </c>
      <c r="E62" t="s">
        <v>97</v>
      </c>
      <c r="F62" t="str">
        <f>VLOOKUP(E:E,Table7[#All],2,FALSE)</f>
        <v>Human Resources</v>
      </c>
      <c r="G62" s="4">
        <v>44079</v>
      </c>
      <c r="H62" s="6">
        <f ca="1">INT(YEARFRAC(base_cleaned[[#This Row],[Hire Date]],TODAY()))</f>
        <v>5</v>
      </c>
      <c r="I62" t="s">
        <v>304</v>
      </c>
      <c r="J62" s="7">
        <v>114748</v>
      </c>
      <c r="K62">
        <v>33</v>
      </c>
      <c r="L62" t="str">
        <f>VLOOKUP((base_cleaned[[#This Row],[Final Perf_Score]]),Table8[],3,TRUE)</f>
        <v>Needs Improvement</v>
      </c>
      <c r="M62" s="7">
        <f>((base_cleaned[[#This Row],[Final Salary]]*VLOOKUP((base_cleaned[[#This Row],[Final Perf_Score]]),Table8[],4,TRUE)))</f>
        <v>0</v>
      </c>
      <c r="N62">
        <f>IF(base_cleaned[[#This Row],[Employment Status]]="LEFT",1,0)</f>
        <v>0</v>
      </c>
    </row>
    <row r="63" spans="1:14" x14ac:dyDescent="0.3">
      <c r="A63" t="s">
        <v>143</v>
      </c>
      <c r="B63" t="s">
        <v>59</v>
      </c>
      <c r="C63" t="s">
        <v>32</v>
      </c>
      <c r="D63" t="str">
        <f>base_cleaned[[#This Row],[First_Name]]&amp;" "&amp;base_cleaned[[#This Row],[Last_Name]]</f>
        <v>Robert Johnson</v>
      </c>
      <c r="E63" t="s">
        <v>33</v>
      </c>
      <c r="F63" t="str">
        <f>VLOOKUP(E:E,Table7[#All],2,FALSE)</f>
        <v>Operations</v>
      </c>
      <c r="G63" s="4">
        <v>42800</v>
      </c>
      <c r="H63" s="6">
        <f ca="1">INT(YEARFRAC(base_cleaned[[#This Row],[Hire Date]],TODAY()))</f>
        <v>9</v>
      </c>
      <c r="I63" t="s">
        <v>304</v>
      </c>
      <c r="J63" s="7">
        <v>63302</v>
      </c>
      <c r="K63">
        <v>91</v>
      </c>
      <c r="L63" t="str">
        <f>VLOOKUP((base_cleaned[[#This Row],[Final Perf_Score]]),Table8[],3,TRUE)</f>
        <v>Exceeding</v>
      </c>
      <c r="M63" s="7">
        <f>((base_cleaned[[#This Row],[Final Salary]]*VLOOKUP((base_cleaned[[#This Row],[Final Perf_Score]]),Table8[],4,TRUE)))</f>
        <v>5064.16</v>
      </c>
      <c r="N63">
        <f>IF(base_cleaned[[#This Row],[Employment Status]]="LEFT",1,0)</f>
        <v>0</v>
      </c>
    </row>
    <row r="64" spans="1:14" x14ac:dyDescent="0.3">
      <c r="A64" t="s">
        <v>144</v>
      </c>
      <c r="B64" t="s">
        <v>59</v>
      </c>
      <c r="C64" t="s">
        <v>47</v>
      </c>
      <c r="D64" t="str">
        <f>base_cleaned[[#This Row],[First_Name]]&amp;" "&amp;base_cleaned[[#This Row],[Last_Name]]</f>
        <v>Robert Miller</v>
      </c>
      <c r="E64" t="s">
        <v>11</v>
      </c>
      <c r="F64" t="str">
        <f>VLOOKUP(E:E,Table7[#All],2,FALSE)</f>
        <v>Information Technology</v>
      </c>
      <c r="G64" s="4">
        <v>42122</v>
      </c>
      <c r="H64" s="6">
        <f ca="1">INT(YEARFRAC(base_cleaned[[#This Row],[Hire Date]],TODAY()))</f>
        <v>11</v>
      </c>
      <c r="I64" t="s">
        <v>304</v>
      </c>
      <c r="J64" s="7">
        <v>75519</v>
      </c>
      <c r="K64">
        <v>64</v>
      </c>
      <c r="L64" t="str">
        <f>VLOOKUP((base_cleaned[[#This Row],[Final Perf_Score]]),Table8[],3,TRUE)</f>
        <v>Developing</v>
      </c>
      <c r="M64" s="7">
        <f>((base_cleaned[[#This Row],[Final Salary]]*VLOOKUP((base_cleaned[[#This Row],[Final Perf_Score]]),Table8[],4,TRUE)))</f>
        <v>1510.38</v>
      </c>
      <c r="N64">
        <f>IF(base_cleaned[[#This Row],[Employment Status]]="LEFT",1,0)</f>
        <v>0</v>
      </c>
    </row>
    <row r="65" spans="1:14" x14ac:dyDescent="0.3">
      <c r="A65" t="s">
        <v>146</v>
      </c>
      <c r="B65" t="s">
        <v>53</v>
      </c>
      <c r="C65" t="s">
        <v>64</v>
      </c>
      <c r="D65" t="str">
        <f>base_cleaned[[#This Row],[First_Name]]&amp;" "&amp;base_cleaned[[#This Row],[Last_Name]]</f>
        <v>Jane Davis</v>
      </c>
      <c r="E65" t="s">
        <v>26</v>
      </c>
      <c r="F65" t="str">
        <f>VLOOKUP(E:E,Table7[#All],2,FALSE)</f>
        <v>Finance</v>
      </c>
      <c r="G65" s="4">
        <v>42838</v>
      </c>
      <c r="H65" s="6">
        <f ca="1">INT(YEARFRAC(base_cleaned[[#This Row],[Hire Date]],TODAY()))</f>
        <v>9</v>
      </c>
      <c r="I65" t="s">
        <v>304</v>
      </c>
      <c r="J65" s="7">
        <v>103891</v>
      </c>
      <c r="K65">
        <v>80</v>
      </c>
      <c r="L65" t="str">
        <f>VLOOKUP((base_cleaned[[#This Row],[Final Perf_Score]]),Table8[],3,TRUE)</f>
        <v>Achieving</v>
      </c>
      <c r="M65" s="7">
        <f>((base_cleaned[[#This Row],[Final Salary]]*VLOOKUP((base_cleaned[[#This Row],[Final Perf_Score]]),Table8[],4,TRUE)))</f>
        <v>5194.55</v>
      </c>
      <c r="N65">
        <f>IF(base_cleaned[[#This Row],[Employment Status]]="LEFT",1,0)</f>
        <v>0</v>
      </c>
    </row>
    <row r="66" spans="1:14" x14ac:dyDescent="0.3">
      <c r="A66" t="s">
        <v>147</v>
      </c>
      <c r="B66" t="s">
        <v>28</v>
      </c>
      <c r="C66" t="s">
        <v>64</v>
      </c>
      <c r="D66" t="str">
        <f>base_cleaned[[#This Row],[First_Name]]&amp;" "&amp;base_cleaned[[#This Row],[Last_Name]]</f>
        <v>Thomas Davis</v>
      </c>
      <c r="E66" t="s">
        <v>33</v>
      </c>
      <c r="F66" t="str">
        <f>VLOOKUP(E:E,Table7[#All],2,FALSE)</f>
        <v>Operations</v>
      </c>
      <c r="G66" s="4">
        <v>44827</v>
      </c>
      <c r="H66" s="6">
        <f ca="1">INT(YEARFRAC(base_cleaned[[#This Row],[Hire Date]],TODAY()))</f>
        <v>3</v>
      </c>
      <c r="I66" t="s">
        <v>305</v>
      </c>
      <c r="J66" s="7">
        <v>79787</v>
      </c>
      <c r="K66">
        <v>46</v>
      </c>
      <c r="L66" t="str">
        <f>VLOOKUP((base_cleaned[[#This Row],[Final Perf_Score]]),Table8[],3,TRUE)</f>
        <v>Needs Improvement</v>
      </c>
      <c r="M66" s="7">
        <f>((base_cleaned[[#This Row],[Final Salary]]*VLOOKUP((base_cleaned[[#This Row],[Final Perf_Score]]),Table8[],4,TRUE)))</f>
        <v>0</v>
      </c>
      <c r="N66">
        <f>IF(base_cleaned[[#This Row],[Employment Status]]="LEFT",1,0)</f>
        <v>1</v>
      </c>
    </row>
    <row r="67" spans="1:14" x14ac:dyDescent="0.3">
      <c r="A67" t="s">
        <v>148</v>
      </c>
      <c r="B67" t="s">
        <v>28</v>
      </c>
      <c r="C67" t="s">
        <v>60</v>
      </c>
      <c r="D67" t="str">
        <f>base_cleaned[[#This Row],[First_Name]]&amp;" "&amp;base_cleaned[[#This Row],[Last_Name]]</f>
        <v>Thomas Jones</v>
      </c>
      <c r="E67" t="s">
        <v>16</v>
      </c>
      <c r="F67" t="str">
        <f>VLOOKUP(E:E,Table7[#All],2,FALSE)</f>
        <v>Marketing</v>
      </c>
      <c r="G67" s="4">
        <v>42685</v>
      </c>
      <c r="H67" s="6">
        <f ca="1">INT(YEARFRAC(base_cleaned[[#This Row],[Hire Date]],TODAY()))</f>
        <v>9</v>
      </c>
      <c r="I67" t="s">
        <v>304</v>
      </c>
      <c r="J67" s="7">
        <v>50936</v>
      </c>
      <c r="K67">
        <v>99</v>
      </c>
      <c r="L67" t="str">
        <f>VLOOKUP((base_cleaned[[#This Row],[Final Perf_Score]]),Table8[],3,TRUE)</f>
        <v>Outstanding</v>
      </c>
      <c r="M67" s="7">
        <f>((base_cleaned[[#This Row],[Final Salary]]*VLOOKUP((base_cleaned[[#This Row],[Final Perf_Score]]),Table8[],4,TRUE)))</f>
        <v>6112.32</v>
      </c>
      <c r="N67">
        <f>IF(base_cleaned[[#This Row],[Employment Status]]="LEFT",1,0)</f>
        <v>0</v>
      </c>
    </row>
    <row r="68" spans="1:14" x14ac:dyDescent="0.3">
      <c r="A68" t="s">
        <v>151</v>
      </c>
      <c r="B68" t="s">
        <v>43</v>
      </c>
      <c r="C68" t="s">
        <v>47</v>
      </c>
      <c r="D68" t="str">
        <f>base_cleaned[[#This Row],[First_Name]]&amp;" "&amp;base_cleaned[[#This Row],[Last_Name]]</f>
        <v>Michael Miller</v>
      </c>
      <c r="E68" t="s">
        <v>44</v>
      </c>
      <c r="F68" t="str">
        <f>VLOOKUP(E:E,Table7[#All],2,FALSE)</f>
        <v>Sales</v>
      </c>
      <c r="G68" s="4">
        <v>42818</v>
      </c>
      <c r="H68" s="6">
        <f ca="1">INT(YEARFRAC(base_cleaned[[#This Row],[Hire Date]],TODAY()))</f>
        <v>9</v>
      </c>
      <c r="I68" t="s">
        <v>304</v>
      </c>
      <c r="J68" s="7">
        <v>111240</v>
      </c>
      <c r="K68">
        <v>64</v>
      </c>
      <c r="L68" t="str">
        <f>VLOOKUP((base_cleaned[[#This Row],[Final Perf_Score]]),Table8[],3,TRUE)</f>
        <v>Developing</v>
      </c>
      <c r="M68" s="7">
        <f>((base_cleaned[[#This Row],[Final Salary]]*VLOOKUP((base_cleaned[[#This Row],[Final Perf_Score]]),Table8[],4,TRUE)))</f>
        <v>2224.8000000000002</v>
      </c>
      <c r="N68">
        <f>IF(base_cleaned[[#This Row],[Employment Status]]="LEFT",1,0)</f>
        <v>0</v>
      </c>
    </row>
    <row r="69" spans="1:14" x14ac:dyDescent="0.3">
      <c r="A69" t="s">
        <v>154</v>
      </c>
      <c r="B69" t="s">
        <v>14</v>
      </c>
      <c r="C69" t="s">
        <v>19</v>
      </c>
      <c r="D69" t="str">
        <f>base_cleaned[[#This Row],[First_Name]]&amp;" "&amp;base_cleaned[[#This Row],[Last_Name]]</f>
        <v>Richard Gonzalez</v>
      </c>
      <c r="E69" t="s">
        <v>97</v>
      </c>
      <c r="F69" t="str">
        <f>VLOOKUP(E:E,Table7[#All],2,FALSE)</f>
        <v>Human Resources</v>
      </c>
      <c r="G69" s="4">
        <v>43590</v>
      </c>
      <c r="H69" s="6">
        <f ca="1">INT(YEARFRAC(base_cleaned[[#This Row],[Hire Date]],TODAY()))</f>
        <v>7</v>
      </c>
      <c r="I69" t="s">
        <v>305</v>
      </c>
      <c r="J69" s="7">
        <v>51567</v>
      </c>
      <c r="K69">
        <v>87</v>
      </c>
      <c r="L69" t="str">
        <f>VLOOKUP((base_cleaned[[#This Row],[Final Perf_Score]]),Table8[],3,TRUE)</f>
        <v>Exceeding</v>
      </c>
      <c r="M69" s="7">
        <f>((base_cleaned[[#This Row],[Final Salary]]*VLOOKUP((base_cleaned[[#This Row],[Final Perf_Score]]),Table8[],4,TRUE)))</f>
        <v>4125.3599999999997</v>
      </c>
      <c r="N69">
        <f>IF(base_cleaned[[#This Row],[Employment Status]]="LEFT",1,0)</f>
        <v>1</v>
      </c>
    </row>
    <row r="70" spans="1:14" x14ac:dyDescent="0.3">
      <c r="A70" t="s">
        <v>156</v>
      </c>
      <c r="B70" t="s">
        <v>105</v>
      </c>
      <c r="C70" t="s">
        <v>54</v>
      </c>
      <c r="D70" t="str">
        <f>base_cleaned[[#This Row],[First_Name]]&amp;" "&amp;base_cleaned[[#This Row],[Last_Name]]</f>
        <v>Melissa Williams</v>
      </c>
      <c r="E70" t="s">
        <v>97</v>
      </c>
      <c r="F70" t="str">
        <f>VLOOKUP(E:E,Table7[#All],2,FALSE)</f>
        <v>Human Resources</v>
      </c>
      <c r="G70" s="4">
        <v>44402</v>
      </c>
      <c r="H70" s="6">
        <f ca="1">INT(YEARFRAC(base_cleaned[[#This Row],[Hire Date]],TODAY()))</f>
        <v>4</v>
      </c>
      <c r="I70" t="s">
        <v>304</v>
      </c>
      <c r="J70" s="7">
        <v>85650</v>
      </c>
      <c r="K70">
        <v>36</v>
      </c>
      <c r="L70" t="str">
        <f>VLOOKUP((base_cleaned[[#This Row],[Final Perf_Score]]),Table8[],3,TRUE)</f>
        <v>Needs Improvement</v>
      </c>
      <c r="M70" s="7">
        <f>((base_cleaned[[#This Row],[Final Salary]]*VLOOKUP((base_cleaned[[#This Row],[Final Perf_Score]]),Table8[],4,TRUE)))</f>
        <v>0</v>
      </c>
      <c r="N70">
        <f>IF(base_cleaned[[#This Row],[Employment Status]]="LEFT",1,0)</f>
        <v>0</v>
      </c>
    </row>
    <row r="71" spans="1:14" x14ac:dyDescent="0.3">
      <c r="A71" t="s">
        <v>158</v>
      </c>
      <c r="B71" t="s">
        <v>59</v>
      </c>
      <c r="C71" t="s">
        <v>47</v>
      </c>
      <c r="D71" t="str">
        <f>base_cleaned[[#This Row],[First_Name]]&amp;" "&amp;base_cleaned[[#This Row],[Last_Name]]</f>
        <v>Robert Miller</v>
      </c>
      <c r="E71" t="s">
        <v>97</v>
      </c>
      <c r="F71" t="str">
        <f>VLOOKUP(E:E,Table7[#All],2,FALSE)</f>
        <v>Human Resources</v>
      </c>
      <c r="G71" s="4">
        <v>43008</v>
      </c>
      <c r="H71" s="6">
        <f ca="1">INT(YEARFRAC(base_cleaned[[#This Row],[Hire Date]],TODAY()))</f>
        <v>8</v>
      </c>
      <c r="I71" t="s">
        <v>304</v>
      </c>
      <c r="J71" s="7">
        <v>55270</v>
      </c>
      <c r="K71">
        <v>87</v>
      </c>
      <c r="L71" t="str">
        <f>VLOOKUP((base_cleaned[[#This Row],[Final Perf_Score]]),Table8[],3,TRUE)</f>
        <v>Exceeding</v>
      </c>
      <c r="M71" s="7">
        <f>((base_cleaned[[#This Row],[Final Salary]]*VLOOKUP((base_cleaned[[#This Row],[Final Perf_Score]]),Table8[],4,TRUE)))</f>
        <v>4421.6000000000004</v>
      </c>
      <c r="N71">
        <f>IF(base_cleaned[[#This Row],[Employment Status]]="LEFT",1,0)</f>
        <v>0</v>
      </c>
    </row>
    <row r="72" spans="1:14" x14ac:dyDescent="0.3">
      <c r="A72" t="s">
        <v>159</v>
      </c>
      <c r="B72" t="s">
        <v>160</v>
      </c>
      <c r="C72" t="s">
        <v>133</v>
      </c>
      <c r="D72" t="str">
        <f>base_cleaned[[#This Row],[First_Name]]&amp;" "&amp;base_cleaned[[#This Row],[Last_Name]]</f>
        <v>William Garcia</v>
      </c>
      <c r="E72" t="s">
        <v>44</v>
      </c>
      <c r="F72" t="str">
        <f>VLOOKUP(E:E,Table7[#All],2,FALSE)</f>
        <v>Sales</v>
      </c>
      <c r="G72" s="4">
        <v>42192</v>
      </c>
      <c r="H72" s="6">
        <f ca="1">INT(YEARFRAC(base_cleaned[[#This Row],[Hire Date]],TODAY()))</f>
        <v>11</v>
      </c>
      <c r="I72" t="s">
        <v>304</v>
      </c>
      <c r="J72" s="7">
        <v>65235</v>
      </c>
      <c r="K72">
        <v>97</v>
      </c>
      <c r="L72" t="str">
        <f>VLOOKUP((base_cleaned[[#This Row],[Final Perf_Score]]),Table8[],3,TRUE)</f>
        <v>Outstanding</v>
      </c>
      <c r="M72" s="7">
        <f>((base_cleaned[[#This Row],[Final Salary]]*VLOOKUP((base_cleaned[[#This Row],[Final Perf_Score]]),Table8[],4,TRUE)))</f>
        <v>7828.2</v>
      </c>
      <c r="N72">
        <f>IF(base_cleaned[[#This Row],[Employment Status]]="LEFT",1,0)</f>
        <v>0</v>
      </c>
    </row>
    <row r="73" spans="1:14" x14ac:dyDescent="0.3">
      <c r="A73" t="s">
        <v>161</v>
      </c>
      <c r="B73" t="s">
        <v>24</v>
      </c>
      <c r="C73" t="s">
        <v>19</v>
      </c>
      <c r="D73" t="str">
        <f>base_cleaned[[#This Row],[First_Name]]&amp;" "&amp;base_cleaned[[#This Row],[Last_Name]]</f>
        <v>John Gonzalez</v>
      </c>
      <c r="E73" t="s">
        <v>44</v>
      </c>
      <c r="F73" t="str">
        <f>VLOOKUP(E:E,Table7[#All],2,FALSE)</f>
        <v>Sales</v>
      </c>
      <c r="G73" s="4">
        <v>43283</v>
      </c>
      <c r="H73" s="6">
        <f ca="1">INT(YEARFRAC(base_cleaned[[#This Row],[Hire Date]],TODAY()))</f>
        <v>8</v>
      </c>
      <c r="I73" t="s">
        <v>305</v>
      </c>
      <c r="J73" s="7">
        <v>87283</v>
      </c>
      <c r="K73">
        <v>72</v>
      </c>
      <c r="L73" t="str">
        <f>VLOOKUP((base_cleaned[[#This Row],[Final Perf_Score]]),Table8[],3,TRUE)</f>
        <v>Achieving</v>
      </c>
      <c r="M73" s="7">
        <f>((base_cleaned[[#This Row],[Final Salary]]*VLOOKUP((base_cleaned[[#This Row],[Final Perf_Score]]),Table8[],4,TRUE)))</f>
        <v>4364.1500000000005</v>
      </c>
      <c r="N73">
        <f>IF(base_cleaned[[#This Row],[Employment Status]]="LEFT",1,0)</f>
        <v>1</v>
      </c>
    </row>
    <row r="74" spans="1:14" x14ac:dyDescent="0.3">
      <c r="A74" t="s">
        <v>162</v>
      </c>
      <c r="B74" t="s">
        <v>66</v>
      </c>
      <c r="C74" t="s">
        <v>19</v>
      </c>
      <c r="D74" t="str">
        <f>base_cleaned[[#This Row],[First_Name]]&amp;" "&amp;base_cleaned[[#This Row],[Last_Name]]</f>
        <v>James Gonzalez</v>
      </c>
      <c r="E74" t="s">
        <v>44</v>
      </c>
      <c r="F74" t="str">
        <f>VLOOKUP(E:E,Table7[#All],2,FALSE)</f>
        <v>Sales</v>
      </c>
      <c r="G74" s="4">
        <v>44819</v>
      </c>
      <c r="H74" s="6">
        <f ca="1">INT(YEARFRAC(base_cleaned[[#This Row],[Hire Date]],TODAY()))</f>
        <v>3</v>
      </c>
      <c r="I74" t="s">
        <v>305</v>
      </c>
      <c r="J74" s="7">
        <v>87283</v>
      </c>
      <c r="K74">
        <v>65</v>
      </c>
      <c r="L74" t="str">
        <f>VLOOKUP((base_cleaned[[#This Row],[Final Perf_Score]]),Table8[],3,TRUE)</f>
        <v>Developing</v>
      </c>
      <c r="M74" s="7">
        <f>((base_cleaned[[#This Row],[Final Salary]]*VLOOKUP((base_cleaned[[#This Row],[Final Perf_Score]]),Table8[],4,TRUE)))</f>
        <v>1745.66</v>
      </c>
      <c r="N74">
        <f>IF(base_cleaned[[#This Row],[Employment Status]]="LEFT",1,0)</f>
        <v>1</v>
      </c>
    </row>
    <row r="75" spans="1:14" x14ac:dyDescent="0.3">
      <c r="A75" t="s">
        <v>163</v>
      </c>
      <c r="B75" t="s">
        <v>53</v>
      </c>
      <c r="C75" t="s">
        <v>19</v>
      </c>
      <c r="D75" t="str">
        <f>base_cleaned[[#This Row],[First_Name]]&amp;" "&amp;base_cleaned[[#This Row],[Last_Name]]</f>
        <v>Jane Gonzalez</v>
      </c>
      <c r="E75" t="s">
        <v>44</v>
      </c>
      <c r="F75" t="str">
        <f>VLOOKUP(E:E,Table7[#All],2,FALSE)</f>
        <v>Sales</v>
      </c>
      <c r="G75" s="4">
        <v>42249</v>
      </c>
      <c r="H75" s="6">
        <f ca="1">INT(YEARFRAC(base_cleaned[[#This Row],[Hire Date]],TODAY()))</f>
        <v>10</v>
      </c>
      <c r="I75" t="s">
        <v>304</v>
      </c>
      <c r="J75" s="7">
        <v>87283</v>
      </c>
      <c r="K75">
        <v>67</v>
      </c>
      <c r="L75" t="str">
        <f>VLOOKUP((base_cleaned[[#This Row],[Final Perf_Score]]),Table8[],3,TRUE)</f>
        <v>Developing</v>
      </c>
      <c r="M75" s="7">
        <f>((base_cleaned[[#This Row],[Final Salary]]*VLOOKUP((base_cleaned[[#This Row],[Final Perf_Score]]),Table8[],4,TRUE)))</f>
        <v>1745.66</v>
      </c>
      <c r="N75">
        <f>IF(base_cleaned[[#This Row],[Employment Status]]="LEFT",1,0)</f>
        <v>0</v>
      </c>
    </row>
    <row r="76" spans="1:14" x14ac:dyDescent="0.3">
      <c r="A76" t="s">
        <v>164</v>
      </c>
      <c r="B76" t="s">
        <v>113</v>
      </c>
      <c r="C76" t="s">
        <v>36</v>
      </c>
      <c r="D76" t="str">
        <f>base_cleaned[[#This Row],[First_Name]]&amp;" "&amp;base_cleaned[[#This Row],[Last_Name]]</f>
        <v>David Wilson</v>
      </c>
      <c r="E76" t="s">
        <v>33</v>
      </c>
      <c r="F76" t="str">
        <f>VLOOKUP(E:E,Table7[#All],2,FALSE)</f>
        <v>Operations</v>
      </c>
      <c r="G76" s="4">
        <v>42654</v>
      </c>
      <c r="H76" s="6">
        <f ca="1">INT(YEARFRAC(base_cleaned[[#This Row],[Hire Date]],TODAY()))</f>
        <v>9</v>
      </c>
      <c r="I76" t="s">
        <v>304</v>
      </c>
      <c r="J76" s="7">
        <v>48823</v>
      </c>
      <c r="K76">
        <v>34</v>
      </c>
      <c r="L76" t="str">
        <f>VLOOKUP((base_cleaned[[#This Row],[Final Perf_Score]]),Table8[],3,TRUE)</f>
        <v>Needs Improvement</v>
      </c>
      <c r="M76" s="7">
        <f>((base_cleaned[[#This Row],[Final Salary]]*VLOOKUP((base_cleaned[[#This Row],[Final Perf_Score]]),Table8[],4,TRUE)))</f>
        <v>0</v>
      </c>
      <c r="N76">
        <f>IF(base_cleaned[[#This Row],[Employment Status]]="LEFT",1,0)</f>
        <v>0</v>
      </c>
    </row>
    <row r="77" spans="1:14" x14ac:dyDescent="0.3">
      <c r="A77" t="s">
        <v>167</v>
      </c>
      <c r="B77" t="s">
        <v>53</v>
      </c>
      <c r="C77" t="s">
        <v>19</v>
      </c>
      <c r="D77" t="str">
        <f>base_cleaned[[#This Row],[First_Name]]&amp;" "&amp;base_cleaned[[#This Row],[Last_Name]]</f>
        <v>Jane Gonzalez</v>
      </c>
      <c r="E77" t="s">
        <v>26</v>
      </c>
      <c r="F77" t="str">
        <f>VLOOKUP(E:E,Table7[#All],2,FALSE)</f>
        <v>Finance</v>
      </c>
      <c r="G77" s="4">
        <v>43575</v>
      </c>
      <c r="H77" s="6">
        <f ca="1">INT(YEARFRAC(base_cleaned[[#This Row],[Hire Date]],TODAY()))</f>
        <v>7</v>
      </c>
      <c r="I77" t="s">
        <v>305</v>
      </c>
      <c r="J77" s="7">
        <v>45196</v>
      </c>
      <c r="K77">
        <v>78</v>
      </c>
      <c r="L77" t="str">
        <f>VLOOKUP((base_cleaned[[#This Row],[Final Perf_Score]]),Table8[],3,TRUE)</f>
        <v>Achieving</v>
      </c>
      <c r="M77" s="7">
        <f>((base_cleaned[[#This Row],[Final Salary]]*VLOOKUP((base_cleaned[[#This Row],[Final Perf_Score]]),Table8[],4,TRUE)))</f>
        <v>2259.8000000000002</v>
      </c>
      <c r="N77">
        <f>IF(base_cleaned[[#This Row],[Employment Status]]="LEFT",1,0)</f>
        <v>1</v>
      </c>
    </row>
    <row r="78" spans="1:14" x14ac:dyDescent="0.3">
      <c r="A78" t="s">
        <v>168</v>
      </c>
      <c r="B78" t="s">
        <v>53</v>
      </c>
      <c r="C78" t="s">
        <v>41</v>
      </c>
      <c r="D78" t="str">
        <f>base_cleaned[[#This Row],[First_Name]]&amp;" "&amp;base_cleaned[[#This Row],[Last_Name]]</f>
        <v>Jane Rodriguez</v>
      </c>
      <c r="E78" t="s">
        <v>11</v>
      </c>
      <c r="F78" t="str">
        <f>VLOOKUP(E:E,Table7[#All],2,FALSE)</f>
        <v>Information Technology</v>
      </c>
      <c r="G78" s="4">
        <v>42785</v>
      </c>
      <c r="H78" s="6">
        <f ca="1">INT(YEARFRAC(base_cleaned[[#This Row],[Hire Date]],TODAY()))</f>
        <v>9</v>
      </c>
      <c r="I78" t="s">
        <v>304</v>
      </c>
      <c r="J78" s="7">
        <v>86246</v>
      </c>
      <c r="K78">
        <v>61</v>
      </c>
      <c r="L78" t="str">
        <f>VLOOKUP((base_cleaned[[#This Row],[Final Perf_Score]]),Table8[],3,TRUE)</f>
        <v>Developing</v>
      </c>
      <c r="M78" s="7">
        <f>((base_cleaned[[#This Row],[Final Salary]]*VLOOKUP((base_cleaned[[#This Row],[Final Perf_Score]]),Table8[],4,TRUE)))</f>
        <v>1724.92</v>
      </c>
      <c r="N78">
        <f>IF(base_cleaned[[#This Row],[Employment Status]]="LEFT",1,0)</f>
        <v>0</v>
      </c>
    </row>
    <row r="79" spans="1:14" x14ac:dyDescent="0.3">
      <c r="A79" t="s">
        <v>171</v>
      </c>
      <c r="B79" t="s">
        <v>9</v>
      </c>
      <c r="C79" t="s">
        <v>47</v>
      </c>
      <c r="D79" t="str">
        <f>base_cleaned[[#This Row],[First_Name]]&amp;" "&amp;base_cleaned[[#This Row],[Last_Name]]</f>
        <v>Emily Miller</v>
      </c>
      <c r="E79" t="s">
        <v>44</v>
      </c>
      <c r="F79" t="str">
        <f>VLOOKUP(E:E,Table7[#All],2,FALSE)</f>
        <v>Sales</v>
      </c>
      <c r="G79" s="4">
        <v>44446</v>
      </c>
      <c r="H79" s="6">
        <f ca="1">INT(YEARFRAC(base_cleaned[[#This Row],[Hire Date]],TODAY()))</f>
        <v>4</v>
      </c>
      <c r="I79" t="s">
        <v>305</v>
      </c>
      <c r="J79" s="7">
        <v>70359</v>
      </c>
      <c r="K79">
        <v>74</v>
      </c>
      <c r="L79" t="str">
        <f>VLOOKUP((base_cleaned[[#This Row],[Final Perf_Score]]),Table8[],3,TRUE)</f>
        <v>Achieving</v>
      </c>
      <c r="M79" s="7">
        <f>((base_cleaned[[#This Row],[Final Salary]]*VLOOKUP((base_cleaned[[#This Row],[Final Perf_Score]]),Table8[],4,TRUE)))</f>
        <v>3517.9500000000003</v>
      </c>
      <c r="N79">
        <f>IF(base_cleaned[[#This Row],[Employment Status]]="LEFT",1,0)</f>
        <v>1</v>
      </c>
    </row>
    <row r="80" spans="1:14" x14ac:dyDescent="0.3">
      <c r="A80" t="s">
        <v>173</v>
      </c>
      <c r="B80" t="s">
        <v>94</v>
      </c>
      <c r="C80" t="s">
        <v>47</v>
      </c>
      <c r="D80" t="str">
        <f>base_cleaned[[#This Row],[First_Name]]&amp;" "&amp;base_cleaned[[#This Row],[Last_Name]]</f>
        <v>Sarah Miller</v>
      </c>
      <c r="E80" t="s">
        <v>16</v>
      </c>
      <c r="F80" t="str">
        <f>VLOOKUP(E:E,Table7[#All],2,FALSE)</f>
        <v>Marketing</v>
      </c>
      <c r="G80" s="4">
        <v>43599</v>
      </c>
      <c r="H80" s="6">
        <f ca="1">INT(YEARFRAC(base_cleaned[[#This Row],[Hire Date]],TODAY()))</f>
        <v>7</v>
      </c>
      <c r="I80" t="s">
        <v>304</v>
      </c>
      <c r="J80" s="7">
        <v>85509</v>
      </c>
      <c r="K80">
        <v>94</v>
      </c>
      <c r="L80" t="str">
        <f>VLOOKUP((base_cleaned[[#This Row],[Final Perf_Score]]),Table8[],3,TRUE)</f>
        <v>Exceeding</v>
      </c>
      <c r="M80" s="7">
        <f>((base_cleaned[[#This Row],[Final Salary]]*VLOOKUP((base_cleaned[[#This Row],[Final Perf_Score]]),Table8[],4,TRUE)))</f>
        <v>6840.72</v>
      </c>
      <c r="N80">
        <f>IF(base_cleaned[[#This Row],[Employment Status]]="LEFT",1,0)</f>
        <v>0</v>
      </c>
    </row>
    <row r="81" spans="1:14" x14ac:dyDescent="0.3">
      <c r="A81" t="s">
        <v>174</v>
      </c>
      <c r="B81" t="s">
        <v>39</v>
      </c>
      <c r="C81" t="s">
        <v>133</v>
      </c>
      <c r="D81" t="str">
        <f>base_cleaned[[#This Row],[First_Name]]&amp;" "&amp;base_cleaned[[#This Row],[Last_Name]]</f>
        <v>Jessica Garcia</v>
      </c>
      <c r="E81" t="s">
        <v>33</v>
      </c>
      <c r="F81" t="str">
        <f>VLOOKUP(E:E,Table7[#All],2,FALSE)</f>
        <v>Operations</v>
      </c>
      <c r="G81" s="4">
        <v>42330</v>
      </c>
      <c r="H81" s="6">
        <f ca="1">INT(YEARFRAC(base_cleaned[[#This Row],[Hire Date]],TODAY()))</f>
        <v>10</v>
      </c>
      <c r="I81" t="s">
        <v>304</v>
      </c>
      <c r="J81" s="7">
        <v>86480</v>
      </c>
      <c r="K81">
        <v>71</v>
      </c>
      <c r="L81" t="str">
        <f>VLOOKUP((base_cleaned[[#This Row],[Final Perf_Score]]),Table8[],3,TRUE)</f>
        <v>Achieving</v>
      </c>
      <c r="M81" s="7">
        <f>((base_cleaned[[#This Row],[Final Salary]]*VLOOKUP((base_cleaned[[#This Row],[Final Perf_Score]]),Table8[],4,TRUE)))</f>
        <v>4324</v>
      </c>
      <c r="N81">
        <f>IF(base_cleaned[[#This Row],[Employment Status]]="LEFT",1,0)</f>
        <v>0</v>
      </c>
    </row>
    <row r="82" spans="1:14" x14ac:dyDescent="0.3">
      <c r="A82" t="s">
        <v>175</v>
      </c>
      <c r="B82" t="s">
        <v>14</v>
      </c>
      <c r="C82" t="s">
        <v>29</v>
      </c>
      <c r="D82" t="str">
        <f>base_cleaned[[#This Row],[First_Name]]&amp;" "&amp;base_cleaned[[#This Row],[Last_Name]]</f>
        <v>Richard Smith</v>
      </c>
      <c r="E82" t="s">
        <v>97</v>
      </c>
      <c r="F82" t="str">
        <f>VLOOKUP(E:E,Table7[#All],2,FALSE)</f>
        <v>Human Resources</v>
      </c>
      <c r="G82" s="4">
        <v>43372</v>
      </c>
      <c r="H82" s="6">
        <f ca="1">INT(YEARFRAC(base_cleaned[[#This Row],[Hire Date]],TODAY()))</f>
        <v>7</v>
      </c>
      <c r="I82" t="s">
        <v>304</v>
      </c>
      <c r="J82" s="7">
        <v>47694</v>
      </c>
      <c r="K82">
        <v>75</v>
      </c>
      <c r="L82" t="str">
        <f>VLOOKUP((base_cleaned[[#This Row],[Final Perf_Score]]),Table8[],3,TRUE)</f>
        <v>Achieving</v>
      </c>
      <c r="M82" s="7">
        <f>((base_cleaned[[#This Row],[Final Salary]]*VLOOKUP((base_cleaned[[#This Row],[Final Perf_Score]]),Table8[],4,TRUE)))</f>
        <v>2384.7000000000003</v>
      </c>
      <c r="N82">
        <f>IF(base_cleaned[[#This Row],[Employment Status]]="LEFT",1,0)</f>
        <v>0</v>
      </c>
    </row>
    <row r="83" spans="1:14" x14ac:dyDescent="0.3">
      <c r="A83" t="s">
        <v>178</v>
      </c>
      <c r="B83" t="s">
        <v>105</v>
      </c>
      <c r="C83" t="s">
        <v>36</v>
      </c>
      <c r="D83" t="str">
        <f>base_cleaned[[#This Row],[First_Name]]&amp;" "&amp;base_cleaned[[#This Row],[Last_Name]]</f>
        <v>Melissa Wilson</v>
      </c>
      <c r="E83" t="s">
        <v>11</v>
      </c>
      <c r="F83" t="str">
        <f>VLOOKUP(E:E,Table7[#All],2,FALSE)</f>
        <v>Information Technology</v>
      </c>
      <c r="G83" s="4">
        <v>45171</v>
      </c>
      <c r="H83" s="6">
        <f ca="1">INT(YEARFRAC(base_cleaned[[#This Row],[Hire Date]],TODAY()))</f>
        <v>2</v>
      </c>
      <c r="I83" t="s">
        <v>305</v>
      </c>
      <c r="J83" s="7">
        <v>83724</v>
      </c>
      <c r="K83">
        <v>81</v>
      </c>
      <c r="L83" t="str">
        <f>VLOOKUP((base_cleaned[[#This Row],[Final Perf_Score]]),Table8[],3,TRUE)</f>
        <v>Achieving</v>
      </c>
      <c r="M83" s="7">
        <f>((base_cleaned[[#This Row],[Final Salary]]*VLOOKUP((base_cleaned[[#This Row],[Final Perf_Score]]),Table8[],4,TRUE)))</f>
        <v>4186.2</v>
      </c>
      <c r="N83">
        <f>IF(base_cleaned[[#This Row],[Employment Status]]="LEFT",1,0)</f>
        <v>1</v>
      </c>
    </row>
    <row r="84" spans="1:14" x14ac:dyDescent="0.3">
      <c r="A84" t="s">
        <v>179</v>
      </c>
      <c r="B84" t="s">
        <v>28</v>
      </c>
      <c r="C84" t="s">
        <v>54</v>
      </c>
      <c r="D84" t="str">
        <f>base_cleaned[[#This Row],[First_Name]]&amp;" "&amp;base_cleaned[[#This Row],[Last_Name]]</f>
        <v>Thomas Williams</v>
      </c>
      <c r="E84" t="s">
        <v>26</v>
      </c>
      <c r="F84" t="str">
        <f>VLOOKUP(E:E,Table7[#All],2,FALSE)</f>
        <v>Finance</v>
      </c>
      <c r="G84" s="4">
        <v>44759</v>
      </c>
      <c r="H84" s="6">
        <f ca="1">INT(YEARFRAC(base_cleaned[[#This Row],[Hire Date]],TODAY()))</f>
        <v>3</v>
      </c>
      <c r="I84" t="s">
        <v>304</v>
      </c>
      <c r="J84" s="7">
        <v>98299</v>
      </c>
      <c r="K84">
        <v>61</v>
      </c>
      <c r="L84" t="str">
        <f>VLOOKUP((base_cleaned[[#This Row],[Final Perf_Score]]),Table8[],3,TRUE)</f>
        <v>Developing</v>
      </c>
      <c r="M84" s="7">
        <f>((base_cleaned[[#This Row],[Final Salary]]*VLOOKUP((base_cleaned[[#This Row],[Final Perf_Score]]),Table8[],4,TRUE)))</f>
        <v>1965.98</v>
      </c>
      <c r="N84">
        <f>IF(base_cleaned[[#This Row],[Employment Status]]="LEFT",1,0)</f>
        <v>0</v>
      </c>
    </row>
    <row r="85" spans="1:14" x14ac:dyDescent="0.3">
      <c r="A85" t="s">
        <v>180</v>
      </c>
      <c r="B85" t="s">
        <v>113</v>
      </c>
      <c r="C85" t="s">
        <v>54</v>
      </c>
      <c r="D85" t="str">
        <f>base_cleaned[[#This Row],[First_Name]]&amp;" "&amp;base_cleaned[[#This Row],[Last_Name]]</f>
        <v>David Williams</v>
      </c>
      <c r="E85" t="s">
        <v>26</v>
      </c>
      <c r="F85" t="str">
        <f>VLOOKUP(E:E,Table7[#All],2,FALSE)</f>
        <v>Finance</v>
      </c>
      <c r="G85" s="4">
        <v>44234</v>
      </c>
      <c r="H85" s="6">
        <f ca="1">INT(YEARFRAC(base_cleaned[[#This Row],[Hire Date]],TODAY()))</f>
        <v>5</v>
      </c>
      <c r="I85" t="s">
        <v>304</v>
      </c>
      <c r="J85" s="7">
        <v>87939</v>
      </c>
      <c r="K85">
        <v>68</v>
      </c>
      <c r="L85" t="str">
        <f>VLOOKUP((base_cleaned[[#This Row],[Final Perf_Score]]),Table8[],3,TRUE)</f>
        <v>Developing</v>
      </c>
      <c r="M85" s="7">
        <f>((base_cleaned[[#This Row],[Final Salary]]*VLOOKUP((base_cleaned[[#This Row],[Final Perf_Score]]),Table8[],4,TRUE)))</f>
        <v>1758.78</v>
      </c>
      <c r="N85">
        <f>IF(base_cleaned[[#This Row],[Employment Status]]="LEFT",1,0)</f>
        <v>0</v>
      </c>
    </row>
    <row r="86" spans="1:14" x14ac:dyDescent="0.3">
      <c r="A86" t="s">
        <v>182</v>
      </c>
      <c r="B86" t="s">
        <v>24</v>
      </c>
      <c r="C86" t="s">
        <v>32</v>
      </c>
      <c r="D86" t="str">
        <f>base_cleaned[[#This Row],[First_Name]]&amp;" "&amp;base_cleaned[[#This Row],[Last_Name]]</f>
        <v>John Johnson</v>
      </c>
      <c r="E86" t="s">
        <v>11</v>
      </c>
      <c r="F86" t="str">
        <f>VLOOKUP(E:E,Table7[#All],2,FALSE)</f>
        <v>Information Technology</v>
      </c>
      <c r="G86" s="4">
        <v>45203</v>
      </c>
      <c r="H86" s="6">
        <f ca="1">INT(YEARFRAC(base_cleaned[[#This Row],[Hire Date]],TODAY()))</f>
        <v>2</v>
      </c>
      <c r="I86" t="s">
        <v>304</v>
      </c>
      <c r="J86" s="7">
        <v>52287</v>
      </c>
      <c r="K86">
        <v>70</v>
      </c>
      <c r="L86" t="str">
        <f>VLOOKUP((base_cleaned[[#This Row],[Final Perf_Score]]),Table8[],3,TRUE)</f>
        <v>Achieving</v>
      </c>
      <c r="M86" s="7">
        <f>((base_cleaned[[#This Row],[Final Salary]]*VLOOKUP((base_cleaned[[#This Row],[Final Perf_Score]]),Table8[],4,TRUE)))</f>
        <v>2614.3500000000004</v>
      </c>
      <c r="N86">
        <f>IF(base_cleaned[[#This Row],[Employment Status]]="LEFT",1,0)</f>
        <v>0</v>
      </c>
    </row>
    <row r="87" spans="1:14" x14ac:dyDescent="0.3">
      <c r="A87" t="s">
        <v>184</v>
      </c>
      <c r="B87" t="s">
        <v>14</v>
      </c>
      <c r="C87" t="s">
        <v>19</v>
      </c>
      <c r="D87" t="str">
        <f>base_cleaned[[#This Row],[First_Name]]&amp;" "&amp;base_cleaned[[#This Row],[Last_Name]]</f>
        <v>Richard Gonzalez</v>
      </c>
      <c r="E87" t="s">
        <v>11</v>
      </c>
      <c r="F87" t="str">
        <f>VLOOKUP(E:E,Table7[#All],2,FALSE)</f>
        <v>Information Technology</v>
      </c>
      <c r="G87" s="4">
        <v>44073</v>
      </c>
      <c r="H87" s="6">
        <f ca="1">INT(YEARFRAC(base_cleaned[[#This Row],[Hire Date]],TODAY()))</f>
        <v>5</v>
      </c>
      <c r="I87" t="s">
        <v>304</v>
      </c>
      <c r="J87" s="7">
        <v>82633</v>
      </c>
      <c r="K87">
        <v>98</v>
      </c>
      <c r="L87" t="str">
        <f>VLOOKUP((base_cleaned[[#This Row],[Final Perf_Score]]),Table8[],3,TRUE)</f>
        <v>Outstanding</v>
      </c>
      <c r="M87" s="7">
        <f>((base_cleaned[[#This Row],[Final Salary]]*VLOOKUP((base_cleaned[[#This Row],[Final Perf_Score]]),Table8[],4,TRUE)))</f>
        <v>9915.9599999999991</v>
      </c>
      <c r="N87">
        <f>IF(base_cleaned[[#This Row],[Employment Status]]="LEFT",1,0)</f>
        <v>0</v>
      </c>
    </row>
    <row r="88" spans="1:14" x14ac:dyDescent="0.3">
      <c r="A88" t="s">
        <v>185</v>
      </c>
      <c r="B88" t="s">
        <v>105</v>
      </c>
      <c r="C88" t="s">
        <v>135</v>
      </c>
      <c r="D88" t="str">
        <f>base_cleaned[[#This Row],[First_Name]]&amp;" "&amp;base_cleaned[[#This Row],[Last_Name]]</f>
        <v>Melissa Anderson</v>
      </c>
      <c r="E88" t="s">
        <v>33</v>
      </c>
      <c r="F88" t="str">
        <f>VLOOKUP(E:E,Table7[#All],2,FALSE)</f>
        <v>Operations</v>
      </c>
      <c r="G88" s="4">
        <v>44422</v>
      </c>
      <c r="H88" s="6">
        <f ca="1">INT(YEARFRAC(base_cleaned[[#This Row],[Hire Date]],TODAY()))</f>
        <v>4</v>
      </c>
      <c r="I88" t="s">
        <v>304</v>
      </c>
      <c r="J88" s="7">
        <v>46508</v>
      </c>
      <c r="K88">
        <v>34</v>
      </c>
      <c r="L88" t="str">
        <f>VLOOKUP((base_cleaned[[#This Row],[Final Perf_Score]]),Table8[],3,TRUE)</f>
        <v>Needs Improvement</v>
      </c>
      <c r="M88" s="7">
        <f>((base_cleaned[[#This Row],[Final Salary]]*VLOOKUP((base_cleaned[[#This Row],[Final Perf_Score]]),Table8[],4,TRUE)))</f>
        <v>0</v>
      </c>
      <c r="N88">
        <f>IF(base_cleaned[[#This Row],[Employment Status]]="LEFT",1,0)</f>
        <v>0</v>
      </c>
    </row>
    <row r="89" spans="1:14" x14ac:dyDescent="0.3">
      <c r="A89" t="s">
        <v>186</v>
      </c>
      <c r="B89" t="s">
        <v>9</v>
      </c>
      <c r="C89" t="s">
        <v>19</v>
      </c>
      <c r="D89" t="str">
        <f>base_cleaned[[#This Row],[First_Name]]&amp;" "&amp;base_cleaned[[#This Row],[Last_Name]]</f>
        <v>Emily Gonzalez</v>
      </c>
      <c r="E89" t="s">
        <v>97</v>
      </c>
      <c r="F89" t="str">
        <f>VLOOKUP(E:E,Table7[#All],2,FALSE)</f>
        <v>Human Resources</v>
      </c>
      <c r="G89" s="4">
        <v>43796</v>
      </c>
      <c r="H89" s="6">
        <f ca="1">INT(YEARFRAC(base_cleaned[[#This Row],[Hire Date]],TODAY()))</f>
        <v>6</v>
      </c>
      <c r="I89" t="s">
        <v>304</v>
      </c>
      <c r="J89" s="7">
        <v>86232</v>
      </c>
      <c r="K89">
        <v>93</v>
      </c>
      <c r="L89" t="str">
        <f>VLOOKUP((base_cleaned[[#This Row],[Final Perf_Score]]),Table8[],3,TRUE)</f>
        <v>Exceeding</v>
      </c>
      <c r="M89" s="7">
        <f>((base_cleaned[[#This Row],[Final Salary]]*VLOOKUP((base_cleaned[[#This Row],[Final Perf_Score]]),Table8[],4,TRUE)))</f>
        <v>6898.56</v>
      </c>
      <c r="N89">
        <f>IF(base_cleaned[[#This Row],[Employment Status]]="LEFT",1,0)</f>
        <v>0</v>
      </c>
    </row>
    <row r="90" spans="1:14" x14ac:dyDescent="0.3">
      <c r="A90" t="s">
        <v>188</v>
      </c>
      <c r="B90" t="s">
        <v>53</v>
      </c>
      <c r="C90" t="s">
        <v>64</v>
      </c>
      <c r="D90" t="str">
        <f>base_cleaned[[#This Row],[First_Name]]&amp;" "&amp;base_cleaned[[#This Row],[Last_Name]]</f>
        <v>Jane Davis</v>
      </c>
      <c r="E90" t="s">
        <v>11</v>
      </c>
      <c r="F90" t="str">
        <f>VLOOKUP(E:E,Table7[#All],2,FALSE)</f>
        <v>Information Technology</v>
      </c>
      <c r="G90" s="4">
        <v>42880</v>
      </c>
      <c r="H90" s="6">
        <f ca="1">INT(YEARFRAC(base_cleaned[[#This Row],[Hire Date]],TODAY()))</f>
        <v>9</v>
      </c>
      <c r="I90" t="s">
        <v>304</v>
      </c>
      <c r="J90" s="7">
        <v>77545</v>
      </c>
      <c r="K90">
        <v>48</v>
      </c>
      <c r="L90" t="str">
        <f>VLOOKUP((base_cleaned[[#This Row],[Final Perf_Score]]),Table8[],3,TRUE)</f>
        <v>Needs Improvement</v>
      </c>
      <c r="M90" s="7">
        <f>((base_cleaned[[#This Row],[Final Salary]]*VLOOKUP((base_cleaned[[#This Row],[Final Perf_Score]]),Table8[],4,TRUE)))</f>
        <v>0</v>
      </c>
      <c r="N90">
        <f>IF(base_cleaned[[#This Row],[Employment Status]]="LEFT",1,0)</f>
        <v>0</v>
      </c>
    </row>
    <row r="91" spans="1:14" x14ac:dyDescent="0.3">
      <c r="A91" t="s">
        <v>191</v>
      </c>
      <c r="B91" t="s">
        <v>160</v>
      </c>
      <c r="C91" t="s">
        <v>19</v>
      </c>
      <c r="D91" t="str">
        <f>base_cleaned[[#This Row],[First_Name]]&amp;" "&amp;base_cleaned[[#This Row],[Last_Name]]</f>
        <v>William Gonzalez</v>
      </c>
      <c r="E91" t="s">
        <v>33</v>
      </c>
      <c r="F91" t="str">
        <f>VLOOKUP(E:E,Table7[#All],2,FALSE)</f>
        <v>Operations</v>
      </c>
      <c r="G91" s="4">
        <v>43436</v>
      </c>
      <c r="H91" s="6">
        <f ca="1">INT(YEARFRAC(base_cleaned[[#This Row],[Hire Date]],TODAY()))</f>
        <v>7</v>
      </c>
      <c r="I91" t="s">
        <v>304</v>
      </c>
      <c r="J91" s="7">
        <v>68683</v>
      </c>
      <c r="K91">
        <v>90</v>
      </c>
      <c r="L91" t="str">
        <f>VLOOKUP((base_cleaned[[#This Row],[Final Perf_Score]]),Table8[],3,TRUE)</f>
        <v>Exceeding</v>
      </c>
      <c r="M91" s="7">
        <f>((base_cleaned[[#This Row],[Final Salary]]*VLOOKUP((base_cleaned[[#This Row],[Final Perf_Score]]),Table8[],4,TRUE)))</f>
        <v>5494.64</v>
      </c>
      <c r="N91">
        <f>IF(base_cleaned[[#This Row],[Employment Status]]="LEFT",1,0)</f>
        <v>0</v>
      </c>
    </row>
    <row r="92" spans="1:14" x14ac:dyDescent="0.3">
      <c r="A92" t="s">
        <v>192</v>
      </c>
      <c r="B92" t="s">
        <v>28</v>
      </c>
      <c r="C92" t="s">
        <v>60</v>
      </c>
      <c r="D92" t="str">
        <f>base_cleaned[[#This Row],[First_Name]]&amp;" "&amp;base_cleaned[[#This Row],[Last_Name]]</f>
        <v>Thomas Jones</v>
      </c>
      <c r="E92" t="s">
        <v>26</v>
      </c>
      <c r="F92" t="str">
        <f>VLOOKUP(E:E,Table7[#All],2,FALSE)</f>
        <v>Finance</v>
      </c>
      <c r="G92" s="4">
        <v>43639</v>
      </c>
      <c r="H92" s="6">
        <f ca="1">INT(YEARFRAC(base_cleaned[[#This Row],[Hire Date]],TODAY()))</f>
        <v>7</v>
      </c>
      <c r="I92" t="s">
        <v>305</v>
      </c>
      <c r="J92" s="7">
        <v>83932</v>
      </c>
      <c r="K92">
        <v>57</v>
      </c>
      <c r="L92" t="str">
        <f>VLOOKUP((base_cleaned[[#This Row],[Final Perf_Score]]),Table8[],3,TRUE)</f>
        <v>Developing</v>
      </c>
      <c r="M92" s="7">
        <f>((base_cleaned[[#This Row],[Final Salary]]*VLOOKUP((base_cleaned[[#This Row],[Final Perf_Score]]),Table8[],4,TRUE)))</f>
        <v>1678.64</v>
      </c>
      <c r="N92">
        <f>IF(base_cleaned[[#This Row],[Employment Status]]="LEFT",1,0)</f>
        <v>1</v>
      </c>
    </row>
    <row r="93" spans="1:14" x14ac:dyDescent="0.3">
      <c r="A93" t="s">
        <v>193</v>
      </c>
      <c r="B93" t="s">
        <v>39</v>
      </c>
      <c r="C93" t="s">
        <v>135</v>
      </c>
      <c r="D93" t="str">
        <f>base_cleaned[[#This Row],[First_Name]]&amp;" "&amp;base_cleaned[[#This Row],[Last_Name]]</f>
        <v>Jessica Anderson</v>
      </c>
      <c r="E93" t="s">
        <v>97</v>
      </c>
      <c r="F93" t="str">
        <f>VLOOKUP(E:E,Table7[#All],2,FALSE)</f>
        <v>Human Resources</v>
      </c>
      <c r="G93" s="4">
        <v>42304</v>
      </c>
      <c r="H93" s="6">
        <f ca="1">INT(YEARFRAC(base_cleaned[[#This Row],[Hire Date]],TODAY()))</f>
        <v>10</v>
      </c>
      <c r="I93" t="s">
        <v>304</v>
      </c>
      <c r="J93" s="7">
        <v>56073</v>
      </c>
      <c r="K93">
        <v>79</v>
      </c>
      <c r="L93" t="str">
        <f>VLOOKUP((base_cleaned[[#This Row],[Final Perf_Score]]),Table8[],3,TRUE)</f>
        <v>Achieving</v>
      </c>
      <c r="M93" s="7">
        <f>((base_cleaned[[#This Row],[Final Salary]]*VLOOKUP((base_cleaned[[#This Row],[Final Perf_Score]]),Table8[],4,TRUE)))</f>
        <v>2803.65</v>
      </c>
      <c r="N93">
        <f>IF(base_cleaned[[#This Row],[Employment Status]]="LEFT",1,0)</f>
        <v>0</v>
      </c>
    </row>
    <row r="94" spans="1:14" x14ac:dyDescent="0.3">
      <c r="A94" t="s">
        <v>194</v>
      </c>
      <c r="B94" t="s">
        <v>105</v>
      </c>
      <c r="C94" t="s">
        <v>32</v>
      </c>
      <c r="D94" t="str">
        <f>base_cleaned[[#This Row],[First_Name]]&amp;" "&amp;base_cleaned[[#This Row],[Last_Name]]</f>
        <v>Melissa Johnson</v>
      </c>
      <c r="E94" t="s">
        <v>11</v>
      </c>
      <c r="F94" t="str">
        <f>VLOOKUP(E:E,Table7[#All],2,FALSE)</f>
        <v>Information Technology</v>
      </c>
      <c r="G94" s="4">
        <v>43270</v>
      </c>
      <c r="H94" s="6">
        <f ca="1">INT(YEARFRAC(base_cleaned[[#This Row],[Hire Date]],TODAY()))</f>
        <v>8</v>
      </c>
      <c r="I94" t="s">
        <v>304</v>
      </c>
      <c r="J94" s="7">
        <v>88056</v>
      </c>
      <c r="K94">
        <v>66</v>
      </c>
      <c r="L94" t="str">
        <f>VLOOKUP((base_cleaned[[#This Row],[Final Perf_Score]]),Table8[],3,TRUE)</f>
        <v>Developing</v>
      </c>
      <c r="M94" s="7">
        <f>((base_cleaned[[#This Row],[Final Salary]]*VLOOKUP((base_cleaned[[#This Row],[Final Perf_Score]]),Table8[],4,TRUE)))</f>
        <v>1761.1200000000001</v>
      </c>
      <c r="N94">
        <f>IF(base_cleaned[[#This Row],[Employment Status]]="LEFT",1,0)</f>
        <v>0</v>
      </c>
    </row>
    <row r="95" spans="1:14" x14ac:dyDescent="0.3">
      <c r="A95" t="s">
        <v>196</v>
      </c>
      <c r="B95" t="s">
        <v>28</v>
      </c>
      <c r="C95" t="s">
        <v>47</v>
      </c>
      <c r="D95" t="str">
        <f>base_cleaned[[#This Row],[First_Name]]&amp;" "&amp;base_cleaned[[#This Row],[Last_Name]]</f>
        <v>Thomas Miller</v>
      </c>
      <c r="E95" t="s">
        <v>33</v>
      </c>
      <c r="F95" t="str">
        <f>VLOOKUP(E:E,Table7[#All],2,FALSE)</f>
        <v>Operations</v>
      </c>
      <c r="G95" s="4">
        <v>43112</v>
      </c>
      <c r="H95" s="6">
        <f ca="1">INT(YEARFRAC(base_cleaned[[#This Row],[Hire Date]],TODAY()))</f>
        <v>8</v>
      </c>
      <c r="I95" t="s">
        <v>305</v>
      </c>
      <c r="J95" s="7">
        <v>67414</v>
      </c>
      <c r="K95">
        <v>84</v>
      </c>
      <c r="L95" t="str">
        <f>VLOOKUP((base_cleaned[[#This Row],[Final Perf_Score]]),Table8[],3,TRUE)</f>
        <v>Achieving</v>
      </c>
      <c r="M95" s="7">
        <f>((base_cleaned[[#This Row],[Final Salary]]*VLOOKUP((base_cleaned[[#This Row],[Final Perf_Score]]),Table8[],4,TRUE)))</f>
        <v>3370.7000000000003</v>
      </c>
      <c r="N95">
        <f>IF(base_cleaned[[#This Row],[Employment Status]]="LEFT",1,0)</f>
        <v>1</v>
      </c>
    </row>
    <row r="96" spans="1:14" x14ac:dyDescent="0.3">
      <c r="A96" t="s">
        <v>197</v>
      </c>
      <c r="B96" t="s">
        <v>160</v>
      </c>
      <c r="C96" t="s">
        <v>19</v>
      </c>
      <c r="D96" t="str">
        <f>base_cleaned[[#This Row],[First_Name]]&amp;" "&amp;base_cleaned[[#This Row],[Last_Name]]</f>
        <v>William Gonzalez</v>
      </c>
      <c r="E96" t="s">
        <v>44</v>
      </c>
      <c r="F96" t="str">
        <f>VLOOKUP(E:E,Table7[#All],2,FALSE)</f>
        <v>Sales</v>
      </c>
      <c r="G96" s="4">
        <v>42008</v>
      </c>
      <c r="H96" s="6">
        <f ca="1">INT(YEARFRAC(base_cleaned[[#This Row],[Hire Date]],TODAY()))</f>
        <v>11</v>
      </c>
      <c r="I96" t="s">
        <v>304</v>
      </c>
      <c r="J96" s="7">
        <v>115288</v>
      </c>
      <c r="K96">
        <v>61</v>
      </c>
      <c r="L96" t="str">
        <f>VLOOKUP((base_cleaned[[#This Row],[Final Perf_Score]]),Table8[],3,TRUE)</f>
        <v>Developing</v>
      </c>
      <c r="M96" s="7">
        <f>((base_cleaned[[#This Row],[Final Salary]]*VLOOKUP((base_cleaned[[#This Row],[Final Perf_Score]]),Table8[],4,TRUE)))</f>
        <v>2305.7600000000002</v>
      </c>
      <c r="N96">
        <f>IF(base_cleaned[[#This Row],[Employment Status]]="LEFT",1,0)</f>
        <v>0</v>
      </c>
    </row>
    <row r="97" spans="1:14" x14ac:dyDescent="0.3">
      <c r="A97" t="s">
        <v>199</v>
      </c>
      <c r="C97" t="s">
        <v>29</v>
      </c>
      <c r="D97" t="str">
        <f>base_cleaned[[#This Row],[First_Name]]&amp;" "&amp;base_cleaned[[#This Row],[Last_Name]]</f>
        <v xml:space="preserve"> Smith</v>
      </c>
      <c r="E97" t="s">
        <v>44</v>
      </c>
      <c r="F97" t="str">
        <f>VLOOKUP(E:E,Table7[#All],2,FALSE)</f>
        <v>Sales</v>
      </c>
      <c r="G97" s="4">
        <v>43439</v>
      </c>
      <c r="H97" s="6">
        <f ca="1">INT(YEARFRAC(base_cleaned[[#This Row],[Hire Date]],TODAY()))</f>
        <v>7</v>
      </c>
      <c r="I97" t="s">
        <v>304</v>
      </c>
      <c r="J97" s="7">
        <v>80140</v>
      </c>
      <c r="K97">
        <v>58</v>
      </c>
      <c r="L97" t="str">
        <f>VLOOKUP((base_cleaned[[#This Row],[Final Perf_Score]]),Table8[],3,TRUE)</f>
        <v>Developing</v>
      </c>
      <c r="M97" s="7">
        <f>((base_cleaned[[#This Row],[Final Salary]]*VLOOKUP((base_cleaned[[#This Row],[Final Perf_Score]]),Table8[],4,TRUE)))</f>
        <v>1602.8</v>
      </c>
      <c r="N97">
        <f>IF(base_cleaned[[#This Row],[Employment Status]]="LEFT",1,0)</f>
        <v>0</v>
      </c>
    </row>
    <row r="98" spans="1:14" x14ac:dyDescent="0.3">
      <c r="A98" t="s">
        <v>200</v>
      </c>
      <c r="B98" t="s">
        <v>24</v>
      </c>
      <c r="C98" t="s">
        <v>32</v>
      </c>
      <c r="D98" t="str">
        <f>base_cleaned[[#This Row],[First_Name]]&amp;" "&amp;base_cleaned[[#This Row],[Last_Name]]</f>
        <v>John Johnson</v>
      </c>
      <c r="E98" t="s">
        <v>11</v>
      </c>
      <c r="F98" t="str">
        <f>VLOOKUP(E:E,Table7[#All],2,FALSE)</f>
        <v>Information Technology</v>
      </c>
      <c r="G98" s="4">
        <v>44482</v>
      </c>
      <c r="H98" s="6">
        <f ca="1">INT(YEARFRAC(base_cleaned[[#This Row],[Hire Date]],TODAY()))</f>
        <v>4</v>
      </c>
      <c r="I98" t="s">
        <v>304</v>
      </c>
      <c r="J98" s="7">
        <v>73087</v>
      </c>
      <c r="K98">
        <v>69</v>
      </c>
      <c r="L98" t="str">
        <f>VLOOKUP((base_cleaned[[#This Row],[Final Perf_Score]]),Table8[],3,TRUE)</f>
        <v>Developing</v>
      </c>
      <c r="M98" s="7">
        <f>((base_cleaned[[#This Row],[Final Salary]]*VLOOKUP((base_cleaned[[#This Row],[Final Perf_Score]]),Table8[],4,TRUE)))</f>
        <v>1461.74</v>
      </c>
      <c r="N98">
        <f>IF(base_cleaned[[#This Row],[Employment Status]]="LEFT",1,0)</f>
        <v>0</v>
      </c>
    </row>
    <row r="99" spans="1:14" x14ac:dyDescent="0.3">
      <c r="A99" t="s">
        <v>201</v>
      </c>
      <c r="B99" t="s">
        <v>53</v>
      </c>
      <c r="C99" t="s">
        <v>32</v>
      </c>
      <c r="D99" t="str">
        <f>base_cleaned[[#This Row],[First_Name]]&amp;" "&amp;base_cleaned[[#This Row],[Last_Name]]</f>
        <v>Jane Johnson</v>
      </c>
      <c r="E99" t="s">
        <v>44</v>
      </c>
      <c r="F99" t="str">
        <f>VLOOKUP(E:E,Table7[#All],2,FALSE)</f>
        <v>Sales</v>
      </c>
      <c r="G99" s="4">
        <v>44081</v>
      </c>
      <c r="H99" s="6">
        <f ca="1">INT(YEARFRAC(base_cleaned[[#This Row],[Hire Date]],TODAY()))</f>
        <v>5</v>
      </c>
      <c r="I99" t="s">
        <v>304</v>
      </c>
      <c r="J99" s="7">
        <v>95292</v>
      </c>
      <c r="K99">
        <v>34</v>
      </c>
      <c r="L99" t="str">
        <f>VLOOKUP((base_cleaned[[#This Row],[Final Perf_Score]]),Table8[],3,TRUE)</f>
        <v>Needs Improvement</v>
      </c>
      <c r="M99" s="7">
        <f>((base_cleaned[[#This Row],[Final Salary]]*VLOOKUP((base_cleaned[[#This Row],[Final Perf_Score]]),Table8[],4,TRUE)))</f>
        <v>0</v>
      </c>
      <c r="N99">
        <f>IF(base_cleaned[[#This Row],[Employment Status]]="LEFT",1,0)</f>
        <v>0</v>
      </c>
    </row>
    <row r="100" spans="1:14" x14ac:dyDescent="0.3">
      <c r="A100" t="s">
        <v>202</v>
      </c>
      <c r="B100" t="s">
        <v>24</v>
      </c>
      <c r="C100" t="s">
        <v>60</v>
      </c>
      <c r="D100" t="str">
        <f>base_cleaned[[#This Row],[First_Name]]&amp;" "&amp;base_cleaned[[#This Row],[Last_Name]]</f>
        <v>John Jones</v>
      </c>
      <c r="E100" t="s">
        <v>11</v>
      </c>
      <c r="F100" t="str">
        <f>VLOOKUP(E:E,Table7[#All],2,FALSE)</f>
        <v>Information Technology</v>
      </c>
      <c r="G100" s="4">
        <v>43532</v>
      </c>
      <c r="H100" s="6">
        <f ca="1">INT(YEARFRAC(base_cleaned[[#This Row],[Hire Date]],TODAY()))</f>
        <v>7</v>
      </c>
      <c r="I100" t="s">
        <v>304</v>
      </c>
      <c r="J100" s="7">
        <v>80015</v>
      </c>
      <c r="K100">
        <v>33</v>
      </c>
      <c r="L100" t="str">
        <f>VLOOKUP((base_cleaned[[#This Row],[Final Perf_Score]]),Table8[],3,TRUE)</f>
        <v>Needs Improvement</v>
      </c>
      <c r="M100" s="7">
        <f>((base_cleaned[[#This Row],[Final Salary]]*VLOOKUP((base_cleaned[[#This Row],[Final Perf_Score]]),Table8[],4,TRUE)))</f>
        <v>0</v>
      </c>
      <c r="N100">
        <f>IF(base_cleaned[[#This Row],[Employment Status]]="LEFT",1,0)</f>
        <v>0</v>
      </c>
    </row>
    <row r="101" spans="1:14" x14ac:dyDescent="0.3">
      <c r="A101" t="s">
        <v>204</v>
      </c>
      <c r="B101" t="s">
        <v>53</v>
      </c>
      <c r="C101" t="s">
        <v>69</v>
      </c>
      <c r="D101" t="str">
        <f>base_cleaned[[#This Row],[First_Name]]&amp;" "&amp;base_cleaned[[#This Row],[Last_Name]]</f>
        <v>Jane Lopez</v>
      </c>
      <c r="E101" t="s">
        <v>16</v>
      </c>
      <c r="F101" t="str">
        <f>VLOOKUP(E:E,Table7[#All],2,FALSE)</f>
        <v>Marketing</v>
      </c>
      <c r="G101" s="4">
        <v>42074</v>
      </c>
      <c r="H101" s="6">
        <f ca="1">INT(YEARFRAC(base_cleaned[[#This Row],[Hire Date]],TODAY()))</f>
        <v>11</v>
      </c>
      <c r="I101" t="s">
        <v>305</v>
      </c>
      <c r="J101" s="7">
        <v>101750</v>
      </c>
      <c r="K101">
        <v>84</v>
      </c>
      <c r="L101" t="str">
        <f>VLOOKUP((base_cleaned[[#This Row],[Final Perf_Score]]),Table8[],3,TRUE)</f>
        <v>Achieving</v>
      </c>
      <c r="M101" s="7">
        <f>((base_cleaned[[#This Row],[Final Salary]]*VLOOKUP((base_cleaned[[#This Row],[Final Perf_Score]]),Table8[],4,TRUE)))</f>
        <v>5087.5</v>
      </c>
      <c r="N101">
        <f>IF(base_cleaned[[#This Row],[Employment Status]]="LEFT",1,0)</f>
        <v>1</v>
      </c>
    </row>
    <row r="102" spans="1:14" x14ac:dyDescent="0.3">
      <c r="A102" t="s">
        <v>206</v>
      </c>
      <c r="B102" t="s">
        <v>105</v>
      </c>
      <c r="C102" t="s">
        <v>19</v>
      </c>
      <c r="D102" t="str">
        <f>base_cleaned[[#This Row],[First_Name]]&amp;" "&amp;base_cleaned[[#This Row],[Last_Name]]</f>
        <v>Melissa Gonzalez</v>
      </c>
      <c r="E102" t="s">
        <v>16</v>
      </c>
      <c r="F102" t="str">
        <f>VLOOKUP(E:E,Table7[#All],2,FALSE)</f>
        <v>Marketing</v>
      </c>
      <c r="G102" s="4">
        <v>42785</v>
      </c>
      <c r="H102" s="6">
        <f ca="1">INT(YEARFRAC(base_cleaned[[#This Row],[Hire Date]],TODAY()))</f>
        <v>9</v>
      </c>
      <c r="I102" t="s">
        <v>304</v>
      </c>
      <c r="J102" s="7">
        <v>82992</v>
      </c>
      <c r="K102">
        <v>79</v>
      </c>
      <c r="L102" t="str">
        <f>VLOOKUP((base_cleaned[[#This Row],[Final Perf_Score]]),Table8[],3,TRUE)</f>
        <v>Achieving</v>
      </c>
      <c r="M102" s="7">
        <f>((base_cleaned[[#This Row],[Final Salary]]*VLOOKUP((base_cleaned[[#This Row],[Final Perf_Score]]),Table8[],4,TRUE)))</f>
        <v>4149.6000000000004</v>
      </c>
      <c r="N102">
        <f>IF(base_cleaned[[#This Row],[Employment Status]]="LEFT",1,0)</f>
        <v>0</v>
      </c>
    </row>
    <row r="103" spans="1:14" x14ac:dyDescent="0.3">
      <c r="A103" t="s">
        <v>208</v>
      </c>
      <c r="B103" t="s">
        <v>160</v>
      </c>
      <c r="C103" t="s">
        <v>64</v>
      </c>
      <c r="D103" t="str">
        <f>base_cleaned[[#This Row],[First_Name]]&amp;" "&amp;base_cleaned[[#This Row],[Last_Name]]</f>
        <v>William Davis</v>
      </c>
      <c r="E103" t="s">
        <v>11</v>
      </c>
      <c r="F103" t="str">
        <f>VLOOKUP(E:E,Table7[#All],2,FALSE)</f>
        <v>Information Technology</v>
      </c>
      <c r="G103" s="4">
        <v>45055</v>
      </c>
      <c r="H103" s="6">
        <f ca="1">INT(YEARFRAC(base_cleaned[[#This Row],[Hire Date]],TODAY()))</f>
        <v>3</v>
      </c>
      <c r="I103" t="s">
        <v>304</v>
      </c>
      <c r="J103" s="7">
        <v>49942</v>
      </c>
      <c r="K103">
        <v>51</v>
      </c>
      <c r="L103" t="str">
        <f>VLOOKUP((base_cleaned[[#This Row],[Final Perf_Score]]),Table8[],3,TRUE)</f>
        <v>Developing</v>
      </c>
      <c r="M103" s="7">
        <f>((base_cleaned[[#This Row],[Final Salary]]*VLOOKUP((base_cleaned[[#This Row],[Final Perf_Score]]),Table8[],4,TRUE)))</f>
        <v>998.84</v>
      </c>
      <c r="N103">
        <f>IF(base_cleaned[[#This Row],[Employment Status]]="LEFT",1,0)</f>
        <v>0</v>
      </c>
    </row>
    <row r="104" spans="1:14" x14ac:dyDescent="0.3">
      <c r="A104" t="s">
        <v>210</v>
      </c>
      <c r="B104" t="s">
        <v>24</v>
      </c>
      <c r="C104" t="s">
        <v>29</v>
      </c>
      <c r="D104" t="str">
        <f>base_cleaned[[#This Row],[First_Name]]&amp;" "&amp;base_cleaned[[#This Row],[Last_Name]]</f>
        <v>John Smith</v>
      </c>
      <c r="E104" t="s">
        <v>33</v>
      </c>
      <c r="F104" t="str">
        <f>VLOOKUP(E:E,Table7[#All],2,FALSE)</f>
        <v>Operations</v>
      </c>
      <c r="G104" s="4">
        <v>43122</v>
      </c>
      <c r="H104" s="6">
        <f ca="1">INT(YEARFRAC(base_cleaned[[#This Row],[Hire Date]],TODAY()))</f>
        <v>8</v>
      </c>
      <c r="I104" t="s">
        <v>304</v>
      </c>
      <c r="J104" s="7">
        <v>89060</v>
      </c>
      <c r="K104">
        <v>58</v>
      </c>
      <c r="L104" t="str">
        <f>VLOOKUP((base_cleaned[[#This Row],[Final Perf_Score]]),Table8[],3,TRUE)</f>
        <v>Developing</v>
      </c>
      <c r="M104" s="7">
        <f>((base_cleaned[[#This Row],[Final Salary]]*VLOOKUP((base_cleaned[[#This Row],[Final Perf_Score]]),Table8[],4,TRUE)))</f>
        <v>1781.2</v>
      </c>
      <c r="N104">
        <f>IF(base_cleaned[[#This Row],[Employment Status]]="LEFT",1,0)</f>
        <v>0</v>
      </c>
    </row>
    <row r="105" spans="1:14" x14ac:dyDescent="0.3">
      <c r="A105" t="s">
        <v>211</v>
      </c>
      <c r="B105" t="s">
        <v>66</v>
      </c>
      <c r="C105" t="s">
        <v>19</v>
      </c>
      <c r="D105" t="str">
        <f>base_cleaned[[#This Row],[First_Name]]&amp;" "&amp;base_cleaned[[#This Row],[Last_Name]]</f>
        <v>James Gonzalez</v>
      </c>
      <c r="E105" t="s">
        <v>11</v>
      </c>
      <c r="F105" t="str">
        <f>VLOOKUP(E:E,Table7[#All],2,FALSE)</f>
        <v>Information Technology</v>
      </c>
      <c r="G105" s="4">
        <v>43879</v>
      </c>
      <c r="H105" s="6">
        <f ca="1">INT(YEARFRAC(base_cleaned[[#This Row],[Hire Date]],TODAY()))</f>
        <v>6</v>
      </c>
      <c r="I105" t="s">
        <v>304</v>
      </c>
      <c r="J105" s="7">
        <v>53786</v>
      </c>
      <c r="K105">
        <v>98</v>
      </c>
      <c r="L105" t="str">
        <f>VLOOKUP((base_cleaned[[#This Row],[Final Perf_Score]]),Table8[],3,TRUE)</f>
        <v>Outstanding</v>
      </c>
      <c r="M105" s="7">
        <f>((base_cleaned[[#This Row],[Final Salary]]*VLOOKUP((base_cleaned[[#This Row],[Final Perf_Score]]),Table8[],4,TRUE)))</f>
        <v>6454.32</v>
      </c>
      <c r="N105">
        <f>IF(base_cleaned[[#This Row],[Employment Status]]="LEFT",1,0)</f>
        <v>0</v>
      </c>
    </row>
    <row r="106" spans="1:14" x14ac:dyDescent="0.3">
      <c r="A106" t="s">
        <v>212</v>
      </c>
      <c r="B106" t="s">
        <v>9</v>
      </c>
      <c r="C106" t="s">
        <v>32</v>
      </c>
      <c r="D106" t="str">
        <f>base_cleaned[[#This Row],[First_Name]]&amp;" "&amp;base_cleaned[[#This Row],[Last_Name]]</f>
        <v>Emily Johnson</v>
      </c>
      <c r="E106" t="s">
        <v>33</v>
      </c>
      <c r="F106" t="str">
        <f>VLOOKUP(E:E,Table7[#All],2,FALSE)</f>
        <v>Operations</v>
      </c>
      <c r="G106" s="4">
        <v>42512</v>
      </c>
      <c r="H106" s="6">
        <f ca="1">INT(YEARFRAC(base_cleaned[[#This Row],[Hire Date]],TODAY()))</f>
        <v>10</v>
      </c>
      <c r="I106" t="s">
        <v>304</v>
      </c>
      <c r="J106" s="7">
        <v>81167</v>
      </c>
      <c r="K106">
        <v>71</v>
      </c>
      <c r="L106" t="str">
        <f>VLOOKUP((base_cleaned[[#This Row],[Final Perf_Score]]),Table8[],3,TRUE)</f>
        <v>Achieving</v>
      </c>
      <c r="M106" s="7">
        <f>((base_cleaned[[#This Row],[Final Salary]]*VLOOKUP((base_cleaned[[#This Row],[Final Perf_Score]]),Table8[],4,TRUE)))</f>
        <v>4058.3500000000004</v>
      </c>
      <c r="N106">
        <f>IF(base_cleaned[[#This Row],[Employment Status]]="LEFT",1,0)</f>
        <v>0</v>
      </c>
    </row>
    <row r="107" spans="1:14" x14ac:dyDescent="0.3">
      <c r="A107" t="s">
        <v>214</v>
      </c>
      <c r="B107" t="s">
        <v>160</v>
      </c>
      <c r="C107" t="s">
        <v>54</v>
      </c>
      <c r="D107" t="str">
        <f>base_cleaned[[#This Row],[First_Name]]&amp;" "&amp;base_cleaned[[#This Row],[Last_Name]]</f>
        <v>William Williams</v>
      </c>
      <c r="E107" t="s">
        <v>16</v>
      </c>
      <c r="F107" t="str">
        <f>VLOOKUP(E:E,Table7[#All],2,FALSE)</f>
        <v>Marketing</v>
      </c>
      <c r="G107" s="4">
        <v>44349</v>
      </c>
      <c r="H107" s="6">
        <f ca="1">INT(YEARFRAC(base_cleaned[[#This Row],[Hire Date]],TODAY()))</f>
        <v>5</v>
      </c>
      <c r="I107" t="s">
        <v>305</v>
      </c>
      <c r="J107" s="7">
        <v>66688</v>
      </c>
      <c r="K107">
        <v>40</v>
      </c>
      <c r="L107" t="str">
        <f>VLOOKUP((base_cleaned[[#This Row],[Final Perf_Score]]),Table8[],3,TRUE)</f>
        <v>Needs Improvement</v>
      </c>
      <c r="M107" s="7">
        <f>((base_cleaned[[#This Row],[Final Salary]]*VLOOKUP((base_cleaned[[#This Row],[Final Perf_Score]]),Table8[],4,TRUE)))</f>
        <v>0</v>
      </c>
      <c r="N107">
        <f>IF(base_cleaned[[#This Row],[Employment Status]]="LEFT",1,0)</f>
        <v>1</v>
      </c>
    </row>
    <row r="108" spans="1:14" x14ac:dyDescent="0.3">
      <c r="A108" t="s">
        <v>215</v>
      </c>
      <c r="B108" t="s">
        <v>66</v>
      </c>
      <c r="C108" t="s">
        <v>60</v>
      </c>
      <c r="D108" t="str">
        <f>base_cleaned[[#This Row],[First_Name]]&amp;" "&amp;base_cleaned[[#This Row],[Last_Name]]</f>
        <v>James Jones</v>
      </c>
      <c r="E108" t="s">
        <v>11</v>
      </c>
      <c r="F108" t="str">
        <f>VLOOKUP(E:E,Table7[#All],2,FALSE)</f>
        <v>Information Technology</v>
      </c>
      <c r="G108" s="4">
        <v>44394</v>
      </c>
      <c r="H108" s="6">
        <f ca="1">INT(YEARFRAC(base_cleaned[[#This Row],[Hire Date]],TODAY()))</f>
        <v>4</v>
      </c>
      <c r="I108" t="s">
        <v>304</v>
      </c>
      <c r="J108" s="7">
        <v>91672</v>
      </c>
      <c r="K108">
        <v>88</v>
      </c>
      <c r="L108" t="str">
        <f>VLOOKUP((base_cleaned[[#This Row],[Final Perf_Score]]),Table8[],3,TRUE)</f>
        <v>Exceeding</v>
      </c>
      <c r="M108" s="7">
        <f>((base_cleaned[[#This Row],[Final Salary]]*VLOOKUP((base_cleaned[[#This Row],[Final Perf_Score]]),Table8[],4,TRUE)))</f>
        <v>7333.76</v>
      </c>
      <c r="N108">
        <f>IF(base_cleaned[[#This Row],[Employment Status]]="LEFT",1,0)</f>
        <v>0</v>
      </c>
    </row>
    <row r="109" spans="1:14" x14ac:dyDescent="0.3">
      <c r="A109" t="s">
        <v>216</v>
      </c>
      <c r="B109" t="s">
        <v>39</v>
      </c>
      <c r="C109" t="s">
        <v>19</v>
      </c>
      <c r="D109" t="str">
        <f>base_cleaned[[#This Row],[First_Name]]&amp;" "&amp;base_cleaned[[#This Row],[Last_Name]]</f>
        <v>Jessica Gonzalez</v>
      </c>
      <c r="E109" t="s">
        <v>97</v>
      </c>
      <c r="F109" t="str">
        <f>VLOOKUP(E:E,Table7[#All],2,FALSE)</f>
        <v>Human Resources</v>
      </c>
      <c r="G109" s="4">
        <v>42687</v>
      </c>
      <c r="H109" s="6">
        <f ca="1">INT(YEARFRAC(base_cleaned[[#This Row],[Hire Date]],TODAY()))</f>
        <v>9</v>
      </c>
      <c r="I109" t="s">
        <v>304</v>
      </c>
      <c r="J109" s="7">
        <v>77737</v>
      </c>
      <c r="K109">
        <v>77</v>
      </c>
      <c r="L109" t="str">
        <f>VLOOKUP((base_cleaned[[#This Row],[Final Perf_Score]]),Table8[],3,TRUE)</f>
        <v>Achieving</v>
      </c>
      <c r="M109" s="7">
        <f>((base_cleaned[[#This Row],[Final Salary]]*VLOOKUP((base_cleaned[[#This Row],[Final Perf_Score]]),Table8[],4,TRUE)))</f>
        <v>3886.8500000000004</v>
      </c>
      <c r="N109">
        <f>IF(base_cleaned[[#This Row],[Employment Status]]="LEFT",1,0)</f>
        <v>0</v>
      </c>
    </row>
    <row r="110" spans="1:14" x14ac:dyDescent="0.3">
      <c r="A110" t="s">
        <v>219</v>
      </c>
      <c r="B110" t="s">
        <v>94</v>
      </c>
      <c r="C110" t="s">
        <v>47</v>
      </c>
      <c r="D110" t="str">
        <f>base_cleaned[[#This Row],[First_Name]]&amp;" "&amp;base_cleaned[[#This Row],[Last_Name]]</f>
        <v>Sarah Miller</v>
      </c>
      <c r="E110" t="s">
        <v>44</v>
      </c>
      <c r="F110" t="str">
        <f>VLOOKUP(E:E,Table7[#All],2,FALSE)</f>
        <v>Sales</v>
      </c>
      <c r="G110" s="4">
        <v>43513</v>
      </c>
      <c r="H110" s="6">
        <f ca="1">INT(YEARFRAC(base_cleaned[[#This Row],[Hire Date]],TODAY()))</f>
        <v>7</v>
      </c>
      <c r="I110" t="s">
        <v>304</v>
      </c>
      <c r="J110" s="7">
        <v>95686</v>
      </c>
      <c r="K110">
        <v>91</v>
      </c>
      <c r="L110" t="str">
        <f>VLOOKUP((base_cleaned[[#This Row],[Final Perf_Score]]),Table8[],3,TRUE)</f>
        <v>Exceeding</v>
      </c>
      <c r="M110" s="7">
        <f>((base_cleaned[[#This Row],[Final Salary]]*VLOOKUP((base_cleaned[[#This Row],[Final Perf_Score]]),Table8[],4,TRUE)))</f>
        <v>7654.88</v>
      </c>
      <c r="N110">
        <f>IF(base_cleaned[[#This Row],[Employment Status]]="LEFT",1,0)</f>
        <v>0</v>
      </c>
    </row>
    <row r="111" spans="1:14" x14ac:dyDescent="0.3">
      <c r="A111" t="s">
        <v>221</v>
      </c>
      <c r="B111" t="s">
        <v>39</v>
      </c>
      <c r="C111" t="s">
        <v>29</v>
      </c>
      <c r="D111" t="str">
        <f>base_cleaned[[#This Row],[First_Name]]&amp;" "&amp;base_cleaned[[#This Row],[Last_Name]]</f>
        <v>Jessica Smith</v>
      </c>
      <c r="E111" t="s">
        <v>44</v>
      </c>
      <c r="F111" t="str">
        <f>VLOOKUP(E:E,Table7[#All],2,FALSE)</f>
        <v>Sales</v>
      </c>
      <c r="G111" s="4">
        <v>42625</v>
      </c>
      <c r="H111" s="6">
        <f ca="1">INT(YEARFRAC(base_cleaned[[#This Row],[Hire Date]],TODAY()))</f>
        <v>9</v>
      </c>
      <c r="I111" t="s">
        <v>304</v>
      </c>
      <c r="J111" s="7">
        <v>114681</v>
      </c>
      <c r="K111">
        <v>36</v>
      </c>
      <c r="L111" t="str">
        <f>VLOOKUP((base_cleaned[[#This Row],[Final Perf_Score]]),Table8[],3,TRUE)</f>
        <v>Needs Improvement</v>
      </c>
      <c r="M111" s="7">
        <f>((base_cleaned[[#This Row],[Final Salary]]*VLOOKUP((base_cleaned[[#This Row],[Final Perf_Score]]),Table8[],4,TRUE)))</f>
        <v>0</v>
      </c>
      <c r="N111">
        <f>IF(base_cleaned[[#This Row],[Employment Status]]="LEFT",1,0)</f>
        <v>0</v>
      </c>
    </row>
    <row r="112" spans="1:14" x14ac:dyDescent="0.3">
      <c r="A112" t="s">
        <v>222</v>
      </c>
      <c r="B112" t="s">
        <v>28</v>
      </c>
      <c r="C112" t="s">
        <v>60</v>
      </c>
      <c r="D112" t="str">
        <f>base_cleaned[[#This Row],[First_Name]]&amp;" "&amp;base_cleaned[[#This Row],[Last_Name]]</f>
        <v>Thomas Jones</v>
      </c>
      <c r="E112" t="s">
        <v>33</v>
      </c>
      <c r="F112" t="str">
        <f>VLOOKUP(E:E,Table7[#All],2,FALSE)</f>
        <v>Operations</v>
      </c>
      <c r="G112" s="4">
        <v>44421</v>
      </c>
      <c r="H112" s="6">
        <f ca="1">INT(YEARFRAC(base_cleaned[[#This Row],[Hire Date]],TODAY()))</f>
        <v>4</v>
      </c>
      <c r="I112" t="s">
        <v>304</v>
      </c>
      <c r="J112" s="7">
        <v>109121</v>
      </c>
      <c r="K112">
        <v>72</v>
      </c>
      <c r="L112" t="str">
        <f>VLOOKUP((base_cleaned[[#This Row],[Final Perf_Score]]),Table8[],3,TRUE)</f>
        <v>Achieving</v>
      </c>
      <c r="M112" s="7">
        <f>((base_cleaned[[#This Row],[Final Salary]]*VLOOKUP((base_cleaned[[#This Row],[Final Perf_Score]]),Table8[],4,TRUE)))</f>
        <v>5456.05</v>
      </c>
      <c r="N112">
        <f>IF(base_cleaned[[#This Row],[Employment Status]]="LEFT",1,0)</f>
        <v>0</v>
      </c>
    </row>
    <row r="113" spans="1:14" x14ac:dyDescent="0.3">
      <c r="A113" t="s">
        <v>225</v>
      </c>
      <c r="B113" t="s">
        <v>71</v>
      </c>
      <c r="C113" t="s">
        <v>10</v>
      </c>
      <c r="D113" t="str">
        <f>base_cleaned[[#This Row],[First_Name]]&amp;" "&amp;base_cleaned[[#This Row],[Last_Name]]</f>
        <v>Amanda Brown</v>
      </c>
      <c r="E113" t="s">
        <v>16</v>
      </c>
      <c r="F113" t="str">
        <f>VLOOKUP(E:E,Table7[#All],2,FALSE)</f>
        <v>Marketing</v>
      </c>
      <c r="G113" s="4">
        <v>43996</v>
      </c>
      <c r="H113" s="6">
        <f ca="1">INT(YEARFRAC(base_cleaned[[#This Row],[Hire Date]],TODAY()))</f>
        <v>6</v>
      </c>
      <c r="I113" t="s">
        <v>304</v>
      </c>
      <c r="J113" s="7">
        <v>112791</v>
      </c>
      <c r="K113">
        <v>87</v>
      </c>
      <c r="L113" t="str">
        <f>VLOOKUP((base_cleaned[[#This Row],[Final Perf_Score]]),Table8[],3,TRUE)</f>
        <v>Exceeding</v>
      </c>
      <c r="M113" s="7">
        <f>((base_cleaned[[#This Row],[Final Salary]]*VLOOKUP((base_cleaned[[#This Row],[Final Perf_Score]]),Table8[],4,TRUE)))</f>
        <v>9023.2800000000007</v>
      </c>
      <c r="N113">
        <f>IF(base_cleaned[[#This Row],[Employment Status]]="LEFT",1,0)</f>
        <v>0</v>
      </c>
    </row>
    <row r="114" spans="1:14" x14ac:dyDescent="0.3">
      <c r="A114" t="s">
        <v>227</v>
      </c>
      <c r="B114" t="s">
        <v>59</v>
      </c>
      <c r="C114" t="s">
        <v>25</v>
      </c>
      <c r="D114" t="str">
        <f>base_cleaned[[#This Row],[First_Name]]&amp;" "&amp;base_cleaned[[#This Row],[Last_Name]]</f>
        <v>Robert Martinez</v>
      </c>
      <c r="E114" t="s">
        <v>11</v>
      </c>
      <c r="F114" t="str">
        <f>VLOOKUP(E:E,Table7[#All],2,FALSE)</f>
        <v>Information Technology</v>
      </c>
      <c r="G114" s="4">
        <v>44747</v>
      </c>
      <c r="H114" s="6">
        <f ca="1">INT(YEARFRAC(base_cleaned[[#This Row],[Hire Date]],TODAY()))</f>
        <v>4</v>
      </c>
      <c r="I114" t="s">
        <v>304</v>
      </c>
      <c r="J114" s="7">
        <v>118008</v>
      </c>
      <c r="K114">
        <v>71</v>
      </c>
      <c r="L114" t="str">
        <f>VLOOKUP((base_cleaned[[#This Row],[Final Perf_Score]]),Table8[],3,TRUE)</f>
        <v>Achieving</v>
      </c>
      <c r="M114" s="7">
        <f>((base_cleaned[[#This Row],[Final Salary]]*VLOOKUP((base_cleaned[[#This Row],[Final Perf_Score]]),Table8[],4,TRUE)))</f>
        <v>5900.4000000000005</v>
      </c>
      <c r="N114">
        <f>IF(base_cleaned[[#This Row],[Employment Status]]="LEFT",1,0)</f>
        <v>0</v>
      </c>
    </row>
    <row r="115" spans="1:14" x14ac:dyDescent="0.3">
      <c r="A115" t="s">
        <v>229</v>
      </c>
      <c r="B115" t="s">
        <v>28</v>
      </c>
      <c r="C115" t="s">
        <v>47</v>
      </c>
      <c r="D115" t="str">
        <f>base_cleaned[[#This Row],[First_Name]]&amp;" "&amp;base_cleaned[[#This Row],[Last_Name]]</f>
        <v>Thomas Miller</v>
      </c>
      <c r="E115" t="s">
        <v>11</v>
      </c>
      <c r="F115" t="str">
        <f>VLOOKUP(E:E,Table7[#All],2,FALSE)</f>
        <v>Information Technology</v>
      </c>
      <c r="G115" s="4">
        <v>42561</v>
      </c>
      <c r="H115" s="6">
        <f ca="1">INT(YEARFRAC(base_cleaned[[#This Row],[Hire Date]],TODAY()))</f>
        <v>9</v>
      </c>
      <c r="I115" t="s">
        <v>304</v>
      </c>
      <c r="J115" s="7">
        <v>74370</v>
      </c>
      <c r="K115">
        <v>82</v>
      </c>
      <c r="L115" t="str">
        <f>VLOOKUP((base_cleaned[[#This Row],[Final Perf_Score]]),Table8[],3,TRUE)</f>
        <v>Achieving</v>
      </c>
      <c r="M115" s="7">
        <f>((base_cleaned[[#This Row],[Final Salary]]*VLOOKUP((base_cleaned[[#This Row],[Final Perf_Score]]),Table8[],4,TRUE)))</f>
        <v>3718.5</v>
      </c>
      <c r="N115">
        <f>IF(base_cleaned[[#This Row],[Employment Status]]="LEFT",1,0)</f>
        <v>0</v>
      </c>
    </row>
    <row r="116" spans="1:14" x14ac:dyDescent="0.3">
      <c r="A116" t="s">
        <v>231</v>
      </c>
      <c r="B116" t="s">
        <v>113</v>
      </c>
      <c r="C116" t="s">
        <v>41</v>
      </c>
      <c r="D116" t="str">
        <f>base_cleaned[[#This Row],[First_Name]]&amp;" "&amp;base_cleaned[[#This Row],[Last_Name]]</f>
        <v>David Rodriguez</v>
      </c>
      <c r="E116" t="s">
        <v>11</v>
      </c>
      <c r="F116" t="str">
        <f>VLOOKUP(E:E,Table7[#All],2,FALSE)</f>
        <v>Information Technology</v>
      </c>
      <c r="G116" s="4">
        <v>44674</v>
      </c>
      <c r="H116" s="6">
        <f ca="1">INT(YEARFRAC(base_cleaned[[#This Row],[Hire Date]],TODAY()))</f>
        <v>4</v>
      </c>
      <c r="I116" t="s">
        <v>304</v>
      </c>
      <c r="J116" s="7">
        <v>77819</v>
      </c>
      <c r="K116">
        <v>79</v>
      </c>
      <c r="L116" t="str">
        <f>VLOOKUP((base_cleaned[[#This Row],[Final Perf_Score]]),Table8[],3,TRUE)</f>
        <v>Achieving</v>
      </c>
      <c r="M116" s="7">
        <f>((base_cleaned[[#This Row],[Final Salary]]*VLOOKUP((base_cleaned[[#This Row],[Final Perf_Score]]),Table8[],4,TRUE)))</f>
        <v>3890.9500000000003</v>
      </c>
      <c r="N116">
        <f>IF(base_cleaned[[#This Row],[Employment Status]]="LEFT",1,0)</f>
        <v>0</v>
      </c>
    </row>
    <row r="117" spans="1:14" x14ac:dyDescent="0.3">
      <c r="A117" t="s">
        <v>232</v>
      </c>
      <c r="B117" t="s">
        <v>53</v>
      </c>
      <c r="C117" t="s">
        <v>47</v>
      </c>
      <c r="D117" t="str">
        <f>base_cleaned[[#This Row],[First_Name]]&amp;" "&amp;base_cleaned[[#This Row],[Last_Name]]</f>
        <v>Jane Miller</v>
      </c>
      <c r="E117" t="s">
        <v>16</v>
      </c>
      <c r="F117" t="str">
        <f>VLOOKUP(E:E,Table7[#All],2,FALSE)</f>
        <v>Marketing</v>
      </c>
      <c r="G117" s="4">
        <v>42865</v>
      </c>
      <c r="H117" s="6">
        <f ca="1">INT(YEARFRAC(base_cleaned[[#This Row],[Hire Date]],TODAY()))</f>
        <v>9</v>
      </c>
      <c r="I117" t="s">
        <v>304</v>
      </c>
      <c r="J117" s="7">
        <v>48748</v>
      </c>
      <c r="K117">
        <v>83</v>
      </c>
      <c r="L117" t="str">
        <f>VLOOKUP((base_cleaned[[#This Row],[Final Perf_Score]]),Table8[],3,TRUE)</f>
        <v>Achieving</v>
      </c>
      <c r="M117" s="7">
        <f>((base_cleaned[[#This Row],[Final Salary]]*VLOOKUP((base_cleaned[[#This Row],[Final Perf_Score]]),Table8[],4,TRUE)))</f>
        <v>2437.4</v>
      </c>
      <c r="N117">
        <f>IF(base_cleaned[[#This Row],[Employment Status]]="LEFT",1,0)</f>
        <v>0</v>
      </c>
    </row>
    <row r="118" spans="1:14" x14ac:dyDescent="0.3">
      <c r="A118" t="s">
        <v>234</v>
      </c>
      <c r="B118" t="s">
        <v>66</v>
      </c>
      <c r="C118" t="s">
        <v>41</v>
      </c>
      <c r="D118" t="str">
        <f>base_cleaned[[#This Row],[First_Name]]&amp;" "&amp;base_cleaned[[#This Row],[Last_Name]]</f>
        <v>James Rodriguez</v>
      </c>
      <c r="E118" t="s">
        <v>33</v>
      </c>
      <c r="F118" t="str">
        <f>VLOOKUP(E:E,Table7[#All],2,FALSE)</f>
        <v>Operations</v>
      </c>
      <c r="G118" s="4">
        <v>43971</v>
      </c>
      <c r="H118" s="6">
        <f ca="1">INT(YEARFRAC(base_cleaned[[#This Row],[Hire Date]],TODAY()))</f>
        <v>6</v>
      </c>
      <c r="I118" t="s">
        <v>305</v>
      </c>
      <c r="J118" s="7">
        <v>101997</v>
      </c>
      <c r="K118">
        <v>38</v>
      </c>
      <c r="L118" t="str">
        <f>VLOOKUP((base_cleaned[[#This Row],[Final Perf_Score]]),Table8[],3,TRUE)</f>
        <v>Needs Improvement</v>
      </c>
      <c r="M118" s="7">
        <f>((base_cleaned[[#This Row],[Final Salary]]*VLOOKUP((base_cleaned[[#This Row],[Final Perf_Score]]),Table8[],4,TRUE)))</f>
        <v>0</v>
      </c>
      <c r="N118">
        <f>IF(base_cleaned[[#This Row],[Employment Status]]="LEFT",1,0)</f>
        <v>1</v>
      </c>
    </row>
    <row r="119" spans="1:14" x14ac:dyDescent="0.3">
      <c r="A119" t="s">
        <v>235</v>
      </c>
      <c r="B119" t="s">
        <v>94</v>
      </c>
      <c r="C119" t="s">
        <v>41</v>
      </c>
      <c r="D119" t="str">
        <f>base_cleaned[[#This Row],[First_Name]]&amp;" "&amp;base_cleaned[[#This Row],[Last_Name]]</f>
        <v>Sarah Rodriguez</v>
      </c>
      <c r="E119" t="s">
        <v>97</v>
      </c>
      <c r="F119" t="str">
        <f>VLOOKUP(E:E,Table7[#All],2,FALSE)</f>
        <v>Human Resources</v>
      </c>
      <c r="G119" s="4">
        <v>45036</v>
      </c>
      <c r="H119" s="6">
        <f ca="1">INT(YEARFRAC(base_cleaned[[#This Row],[Hire Date]],TODAY()))</f>
        <v>3</v>
      </c>
      <c r="I119" t="s">
        <v>304</v>
      </c>
      <c r="J119" s="7">
        <v>115260</v>
      </c>
      <c r="K119">
        <v>77</v>
      </c>
      <c r="L119" t="str">
        <f>VLOOKUP((base_cleaned[[#This Row],[Final Perf_Score]]),Table8[],3,TRUE)</f>
        <v>Achieving</v>
      </c>
      <c r="M119" s="7">
        <f>((base_cleaned[[#This Row],[Final Salary]]*VLOOKUP((base_cleaned[[#This Row],[Final Perf_Score]]),Table8[],4,TRUE)))</f>
        <v>5763</v>
      </c>
      <c r="N119">
        <f>IF(base_cleaned[[#This Row],[Employment Status]]="LEFT",1,0)</f>
        <v>0</v>
      </c>
    </row>
    <row r="120" spans="1:14" x14ac:dyDescent="0.3">
      <c r="A120" t="s">
        <v>237</v>
      </c>
      <c r="B120" t="s">
        <v>94</v>
      </c>
      <c r="C120" t="s">
        <v>36</v>
      </c>
      <c r="D120" t="str">
        <f>base_cleaned[[#This Row],[First_Name]]&amp;" "&amp;base_cleaned[[#This Row],[Last_Name]]</f>
        <v>Sarah Wilson</v>
      </c>
      <c r="E120" t="s">
        <v>44</v>
      </c>
      <c r="F120" t="str">
        <f>VLOOKUP(E:E,Table7[#All],2,FALSE)</f>
        <v>Sales</v>
      </c>
      <c r="G120" s="4">
        <v>44500</v>
      </c>
      <c r="H120" s="6">
        <f ca="1">INT(YEARFRAC(base_cleaned[[#This Row],[Hire Date]],TODAY()))</f>
        <v>4</v>
      </c>
      <c r="I120" t="s">
        <v>304</v>
      </c>
      <c r="J120" s="7">
        <v>87283</v>
      </c>
      <c r="K120">
        <v>49</v>
      </c>
      <c r="L120" t="str">
        <f>VLOOKUP((base_cleaned[[#This Row],[Final Perf_Score]]),Table8[],3,TRUE)</f>
        <v>Needs Improvement</v>
      </c>
      <c r="M120" s="7">
        <f>((base_cleaned[[#This Row],[Final Salary]]*VLOOKUP((base_cleaned[[#This Row],[Final Perf_Score]]),Table8[],4,TRUE)))</f>
        <v>0</v>
      </c>
      <c r="N120">
        <f>IF(base_cleaned[[#This Row],[Employment Status]]="LEFT",1,0)</f>
        <v>0</v>
      </c>
    </row>
    <row r="121" spans="1:14" x14ac:dyDescent="0.3">
      <c r="A121" t="s">
        <v>238</v>
      </c>
      <c r="B121" t="s">
        <v>105</v>
      </c>
      <c r="C121" t="s">
        <v>10</v>
      </c>
      <c r="D121" t="str">
        <f>base_cleaned[[#This Row],[First_Name]]&amp;" "&amp;base_cleaned[[#This Row],[Last_Name]]</f>
        <v>Melissa Brown</v>
      </c>
      <c r="E121" t="s">
        <v>11</v>
      </c>
      <c r="F121" t="str">
        <f>VLOOKUP(E:E,Table7[#All],2,FALSE)</f>
        <v>Information Technology</v>
      </c>
      <c r="G121" s="4">
        <v>44493</v>
      </c>
      <c r="H121" s="6">
        <f ca="1">INT(YEARFRAC(base_cleaned[[#This Row],[Hire Date]],TODAY()))</f>
        <v>4</v>
      </c>
      <c r="I121" t="s">
        <v>305</v>
      </c>
      <c r="J121" s="7">
        <v>80015</v>
      </c>
      <c r="K121">
        <v>69</v>
      </c>
      <c r="L121" t="str">
        <f>VLOOKUP((base_cleaned[[#This Row],[Final Perf_Score]]),Table8[],3,TRUE)</f>
        <v>Developing</v>
      </c>
      <c r="M121" s="7">
        <f>((base_cleaned[[#This Row],[Final Salary]]*VLOOKUP((base_cleaned[[#This Row],[Final Perf_Score]]),Table8[],4,TRUE)))</f>
        <v>1600.3</v>
      </c>
      <c r="N121">
        <f>IF(base_cleaned[[#This Row],[Employment Status]]="LEFT",1,0)</f>
        <v>1</v>
      </c>
    </row>
    <row r="122" spans="1:14" x14ac:dyDescent="0.3">
      <c r="A122" t="s">
        <v>240</v>
      </c>
      <c r="B122" t="s">
        <v>59</v>
      </c>
      <c r="C122" t="s">
        <v>54</v>
      </c>
      <c r="D122" t="str">
        <f>base_cleaned[[#This Row],[First_Name]]&amp;" "&amp;base_cleaned[[#This Row],[Last_Name]]</f>
        <v>Robert Williams</v>
      </c>
      <c r="E122" t="s">
        <v>44</v>
      </c>
      <c r="F122" t="str">
        <f>VLOOKUP(E:E,Table7[#All],2,FALSE)</f>
        <v>Sales</v>
      </c>
      <c r="G122" s="4">
        <v>42956</v>
      </c>
      <c r="H122" s="6">
        <f ca="1">INT(YEARFRAC(base_cleaned[[#This Row],[Hire Date]],TODAY()))</f>
        <v>8</v>
      </c>
      <c r="I122" t="s">
        <v>304</v>
      </c>
      <c r="J122" s="7">
        <v>87283</v>
      </c>
      <c r="K122">
        <v>76</v>
      </c>
      <c r="L122" t="str">
        <f>VLOOKUP((base_cleaned[[#This Row],[Final Perf_Score]]),Table8[],3,TRUE)</f>
        <v>Achieving</v>
      </c>
      <c r="M122" s="7">
        <f>((base_cleaned[[#This Row],[Final Salary]]*VLOOKUP((base_cleaned[[#This Row],[Final Perf_Score]]),Table8[],4,TRUE)))</f>
        <v>4364.1500000000005</v>
      </c>
      <c r="N122">
        <f>IF(base_cleaned[[#This Row],[Employment Status]]="LEFT",1,0)</f>
        <v>0</v>
      </c>
    </row>
    <row r="123" spans="1:14" x14ac:dyDescent="0.3">
      <c r="A123" t="s">
        <v>241</v>
      </c>
      <c r="B123" t="s">
        <v>105</v>
      </c>
      <c r="C123" t="s">
        <v>41</v>
      </c>
      <c r="D123" t="str">
        <f>base_cleaned[[#This Row],[First_Name]]&amp;" "&amp;base_cleaned[[#This Row],[Last_Name]]</f>
        <v>Melissa Rodriguez</v>
      </c>
      <c r="E123" t="s">
        <v>33</v>
      </c>
      <c r="F123" t="str">
        <f>VLOOKUP(E:E,Table7[#All],2,FALSE)</f>
        <v>Operations</v>
      </c>
      <c r="G123" s="4">
        <v>44930</v>
      </c>
      <c r="H123" s="6">
        <f ca="1">INT(YEARFRAC(base_cleaned[[#This Row],[Hire Date]],TODAY()))</f>
        <v>3</v>
      </c>
      <c r="I123" t="s">
        <v>304</v>
      </c>
      <c r="J123" s="7">
        <v>60623</v>
      </c>
      <c r="K123">
        <v>78</v>
      </c>
      <c r="L123" t="str">
        <f>VLOOKUP((base_cleaned[[#This Row],[Final Perf_Score]]),Table8[],3,TRUE)</f>
        <v>Achieving</v>
      </c>
      <c r="M123" s="7">
        <f>((base_cleaned[[#This Row],[Final Salary]]*VLOOKUP((base_cleaned[[#This Row],[Final Perf_Score]]),Table8[],4,TRUE)))</f>
        <v>3031.15</v>
      </c>
      <c r="N123">
        <f>IF(base_cleaned[[#This Row],[Employment Status]]="LEFT",1,0)</f>
        <v>0</v>
      </c>
    </row>
    <row r="124" spans="1:14" x14ac:dyDescent="0.3">
      <c r="A124" t="s">
        <v>242</v>
      </c>
      <c r="B124" t="s">
        <v>66</v>
      </c>
      <c r="C124" t="s">
        <v>32</v>
      </c>
      <c r="D124" t="str">
        <f>base_cleaned[[#This Row],[First_Name]]&amp;" "&amp;base_cleaned[[#This Row],[Last_Name]]</f>
        <v>James Johnson</v>
      </c>
      <c r="E124" t="s">
        <v>97</v>
      </c>
      <c r="F124" t="str">
        <f>VLOOKUP(E:E,Table7[#All],2,FALSE)</f>
        <v>Human Resources</v>
      </c>
      <c r="G124" s="4">
        <v>44053</v>
      </c>
      <c r="H124" s="6">
        <f ca="1">INT(YEARFRAC(base_cleaned[[#This Row],[Hire Date]],TODAY()))</f>
        <v>5</v>
      </c>
      <c r="I124" t="s">
        <v>304</v>
      </c>
      <c r="J124" s="7">
        <v>68092</v>
      </c>
      <c r="K124">
        <v>93</v>
      </c>
      <c r="L124" t="str">
        <f>VLOOKUP((base_cleaned[[#This Row],[Final Perf_Score]]),Table8[],3,TRUE)</f>
        <v>Exceeding</v>
      </c>
      <c r="M124" s="7">
        <f>((base_cleaned[[#This Row],[Final Salary]]*VLOOKUP((base_cleaned[[#This Row],[Final Perf_Score]]),Table8[],4,TRUE)))</f>
        <v>5447.36</v>
      </c>
      <c r="N124">
        <f>IF(base_cleaned[[#This Row],[Employment Status]]="LEFT",1,0)</f>
        <v>0</v>
      </c>
    </row>
    <row r="125" spans="1:14" x14ac:dyDescent="0.3">
      <c r="A125" t="s">
        <v>245</v>
      </c>
      <c r="B125" t="s">
        <v>43</v>
      </c>
      <c r="C125" t="s">
        <v>36</v>
      </c>
      <c r="D125" t="str">
        <f>base_cleaned[[#This Row],[First_Name]]&amp;" "&amp;base_cleaned[[#This Row],[Last_Name]]</f>
        <v>Michael Wilson</v>
      </c>
      <c r="E125" t="s">
        <v>16</v>
      </c>
      <c r="F125" t="str">
        <f>VLOOKUP(E:E,Table7[#All],2,FALSE)</f>
        <v>Marketing</v>
      </c>
      <c r="G125" s="4">
        <v>44653</v>
      </c>
      <c r="H125" s="6">
        <f ca="1">INT(YEARFRAC(base_cleaned[[#This Row],[Hire Date]],TODAY()))</f>
        <v>4</v>
      </c>
      <c r="I125" t="s">
        <v>304</v>
      </c>
      <c r="J125" s="7">
        <v>88155</v>
      </c>
      <c r="K125">
        <v>68</v>
      </c>
      <c r="L125" t="str">
        <f>VLOOKUP((base_cleaned[[#This Row],[Final Perf_Score]]),Table8[],3,TRUE)</f>
        <v>Developing</v>
      </c>
      <c r="M125" s="7">
        <f>((base_cleaned[[#This Row],[Final Salary]]*VLOOKUP((base_cleaned[[#This Row],[Final Perf_Score]]),Table8[],4,TRUE)))</f>
        <v>1763.1000000000001</v>
      </c>
      <c r="N125">
        <f>IF(base_cleaned[[#This Row],[Employment Status]]="LEFT",1,0)</f>
        <v>0</v>
      </c>
    </row>
    <row r="126" spans="1:14" x14ac:dyDescent="0.3">
      <c r="A126" t="s">
        <v>246</v>
      </c>
      <c r="B126" t="s">
        <v>160</v>
      </c>
      <c r="C126" t="s">
        <v>60</v>
      </c>
      <c r="D126" t="str">
        <f>base_cleaned[[#This Row],[First_Name]]&amp;" "&amp;base_cleaned[[#This Row],[Last_Name]]</f>
        <v>William Jones</v>
      </c>
      <c r="E126" t="s">
        <v>16</v>
      </c>
      <c r="F126" t="str">
        <f>VLOOKUP(E:E,Table7[#All],2,FALSE)</f>
        <v>Marketing</v>
      </c>
      <c r="G126" s="4">
        <v>43183</v>
      </c>
      <c r="H126" s="6">
        <f ca="1">INT(YEARFRAC(base_cleaned[[#This Row],[Hire Date]],TODAY()))</f>
        <v>8</v>
      </c>
      <c r="I126" t="s">
        <v>304</v>
      </c>
      <c r="J126" s="7">
        <v>107903</v>
      </c>
      <c r="K126">
        <v>42</v>
      </c>
      <c r="L126" t="str">
        <f>VLOOKUP((base_cleaned[[#This Row],[Final Perf_Score]]),Table8[],3,TRUE)</f>
        <v>Needs Improvement</v>
      </c>
      <c r="M126" s="7">
        <f>((base_cleaned[[#This Row],[Final Salary]]*VLOOKUP((base_cleaned[[#This Row],[Final Perf_Score]]),Table8[],4,TRUE)))</f>
        <v>0</v>
      </c>
      <c r="N126">
        <f>IF(base_cleaned[[#This Row],[Employment Status]]="LEFT",1,0)</f>
        <v>0</v>
      </c>
    </row>
    <row r="127" spans="1:14" x14ac:dyDescent="0.3">
      <c r="A127" t="s">
        <v>248</v>
      </c>
      <c r="B127" t="s">
        <v>160</v>
      </c>
      <c r="C127" t="s">
        <v>54</v>
      </c>
      <c r="D127" t="str">
        <f>base_cleaned[[#This Row],[First_Name]]&amp;" "&amp;base_cleaned[[#This Row],[Last_Name]]</f>
        <v>William Williams</v>
      </c>
      <c r="E127" t="s">
        <v>11</v>
      </c>
      <c r="F127" t="str">
        <f>VLOOKUP(E:E,Table7[#All],2,FALSE)</f>
        <v>Information Technology</v>
      </c>
      <c r="G127" s="4">
        <v>43305</v>
      </c>
      <c r="H127" s="6">
        <f ca="1">INT(YEARFRAC(base_cleaned[[#This Row],[Hire Date]],TODAY()))</f>
        <v>7</v>
      </c>
      <c r="I127" t="s">
        <v>304</v>
      </c>
      <c r="J127" s="7">
        <v>62818</v>
      </c>
      <c r="K127">
        <v>34</v>
      </c>
      <c r="L127" t="str">
        <f>VLOOKUP((base_cleaned[[#This Row],[Final Perf_Score]]),Table8[],3,TRUE)</f>
        <v>Needs Improvement</v>
      </c>
      <c r="M127" s="7">
        <f>((base_cleaned[[#This Row],[Final Salary]]*VLOOKUP((base_cleaned[[#This Row],[Final Perf_Score]]),Table8[],4,TRUE)))</f>
        <v>0</v>
      </c>
      <c r="N127">
        <f>IF(base_cleaned[[#This Row],[Employment Status]]="LEFT",1,0)</f>
        <v>0</v>
      </c>
    </row>
    <row r="128" spans="1:14" x14ac:dyDescent="0.3">
      <c r="A128" t="s">
        <v>249</v>
      </c>
      <c r="B128" t="s">
        <v>113</v>
      </c>
      <c r="C128" t="s">
        <v>54</v>
      </c>
      <c r="D128" t="str">
        <f>base_cleaned[[#This Row],[First_Name]]&amp;" "&amp;base_cleaned[[#This Row],[Last_Name]]</f>
        <v>David Williams</v>
      </c>
      <c r="E128" t="s">
        <v>97</v>
      </c>
      <c r="F128" t="str">
        <f>VLOOKUP(E:E,Table7[#All],2,FALSE)</f>
        <v>Human Resources</v>
      </c>
      <c r="G128" s="4">
        <v>43301</v>
      </c>
      <c r="H128" s="6">
        <f ca="1">INT(YEARFRAC(base_cleaned[[#This Row],[Hire Date]],TODAY()))</f>
        <v>7</v>
      </c>
      <c r="I128" t="s">
        <v>304</v>
      </c>
      <c r="J128" s="7">
        <v>85151</v>
      </c>
      <c r="K128">
        <v>35</v>
      </c>
      <c r="L128" t="str">
        <f>VLOOKUP((base_cleaned[[#This Row],[Final Perf_Score]]),Table8[],3,TRUE)</f>
        <v>Needs Improvement</v>
      </c>
      <c r="M128" s="7">
        <f>((base_cleaned[[#This Row],[Final Salary]]*VLOOKUP((base_cleaned[[#This Row],[Final Perf_Score]]),Table8[],4,TRUE)))</f>
        <v>0</v>
      </c>
      <c r="N128">
        <f>IF(base_cleaned[[#This Row],[Employment Status]]="LEFT",1,0)</f>
        <v>0</v>
      </c>
    </row>
    <row r="129" spans="1:14" x14ac:dyDescent="0.3">
      <c r="A129" t="s">
        <v>250</v>
      </c>
      <c r="B129" t="s">
        <v>53</v>
      </c>
      <c r="C129" t="s">
        <v>64</v>
      </c>
      <c r="D129" t="str">
        <f>base_cleaned[[#This Row],[First_Name]]&amp;" "&amp;base_cleaned[[#This Row],[Last_Name]]</f>
        <v>Jane Davis</v>
      </c>
      <c r="E129" t="s">
        <v>26</v>
      </c>
      <c r="F129" t="str">
        <f>VLOOKUP(E:E,Table7[#All],2,FALSE)</f>
        <v>Finance</v>
      </c>
      <c r="G129" s="4">
        <v>42433</v>
      </c>
      <c r="H129" s="6">
        <f ca="1">INT(YEARFRAC(base_cleaned[[#This Row],[Hire Date]],TODAY()))</f>
        <v>10</v>
      </c>
      <c r="I129" t="s">
        <v>304</v>
      </c>
      <c r="J129" s="7">
        <v>46390</v>
      </c>
      <c r="K129">
        <v>95</v>
      </c>
      <c r="L129" t="str">
        <f>VLOOKUP((base_cleaned[[#This Row],[Final Perf_Score]]),Table8[],3,TRUE)</f>
        <v>Outstanding</v>
      </c>
      <c r="M129" s="7">
        <f>((base_cleaned[[#This Row],[Final Salary]]*VLOOKUP((base_cleaned[[#This Row],[Final Perf_Score]]),Table8[],4,TRUE)))</f>
        <v>5566.8</v>
      </c>
      <c r="N129">
        <f>IF(base_cleaned[[#This Row],[Employment Status]]="LEFT",1,0)</f>
        <v>0</v>
      </c>
    </row>
    <row r="130" spans="1:14" x14ac:dyDescent="0.3">
      <c r="A130" t="s">
        <v>252</v>
      </c>
      <c r="B130" t="s">
        <v>24</v>
      </c>
      <c r="C130" t="s">
        <v>25</v>
      </c>
      <c r="D130" t="str">
        <f>base_cleaned[[#This Row],[First_Name]]&amp;" "&amp;base_cleaned[[#This Row],[Last_Name]]</f>
        <v>John Martinez</v>
      </c>
      <c r="E130" t="s">
        <v>97</v>
      </c>
      <c r="F130" t="str">
        <f>VLOOKUP(E:E,Table7[#All],2,FALSE)</f>
        <v>Human Resources</v>
      </c>
      <c r="G130" s="4">
        <v>44643</v>
      </c>
      <c r="H130" s="6">
        <f ca="1">INT(YEARFRAC(base_cleaned[[#This Row],[Hire Date]],TODAY()))</f>
        <v>4</v>
      </c>
      <c r="I130" t="s">
        <v>305</v>
      </c>
      <c r="J130" s="7">
        <v>111920</v>
      </c>
      <c r="K130">
        <v>90</v>
      </c>
      <c r="L130" t="str">
        <f>VLOOKUP((base_cleaned[[#This Row],[Final Perf_Score]]),Table8[],3,TRUE)</f>
        <v>Exceeding</v>
      </c>
      <c r="M130" s="7">
        <f>((base_cleaned[[#This Row],[Final Salary]]*VLOOKUP((base_cleaned[[#This Row],[Final Perf_Score]]),Table8[],4,TRUE)))</f>
        <v>8953.6</v>
      </c>
      <c r="N130">
        <f>IF(base_cleaned[[#This Row],[Employment Status]]="LEFT",1,0)</f>
        <v>1</v>
      </c>
    </row>
    <row r="131" spans="1:14" x14ac:dyDescent="0.3">
      <c r="A131" t="s">
        <v>253</v>
      </c>
      <c r="B131" t="s">
        <v>113</v>
      </c>
      <c r="C131" t="s">
        <v>135</v>
      </c>
      <c r="D131" t="str">
        <f>base_cleaned[[#This Row],[First_Name]]&amp;" "&amp;base_cleaned[[#This Row],[Last_Name]]</f>
        <v>David Anderson</v>
      </c>
      <c r="E131" t="s">
        <v>97</v>
      </c>
      <c r="F131" t="str">
        <f>VLOOKUP(E:E,Table7[#All],2,FALSE)</f>
        <v>Human Resources</v>
      </c>
      <c r="G131" s="4">
        <v>42944</v>
      </c>
      <c r="H131" s="6">
        <f ca="1">INT(YEARFRAC(base_cleaned[[#This Row],[Hire Date]],TODAY()))</f>
        <v>8</v>
      </c>
      <c r="I131" t="s">
        <v>304</v>
      </c>
      <c r="J131" s="7">
        <v>115618</v>
      </c>
      <c r="K131">
        <v>42</v>
      </c>
      <c r="L131" t="str">
        <f>VLOOKUP((base_cleaned[[#This Row],[Final Perf_Score]]),Table8[],3,TRUE)</f>
        <v>Needs Improvement</v>
      </c>
      <c r="M131" s="7">
        <f>((base_cleaned[[#This Row],[Final Salary]]*VLOOKUP((base_cleaned[[#This Row],[Final Perf_Score]]),Table8[],4,TRUE)))</f>
        <v>0</v>
      </c>
      <c r="N131">
        <f>IF(base_cleaned[[#This Row],[Employment Status]]="LEFT",1,0)</f>
        <v>0</v>
      </c>
    </row>
    <row r="132" spans="1:14" x14ac:dyDescent="0.3">
      <c r="A132" t="s">
        <v>256</v>
      </c>
      <c r="B132" t="s">
        <v>94</v>
      </c>
      <c r="C132" t="s">
        <v>29</v>
      </c>
      <c r="D132" t="str">
        <f>base_cleaned[[#This Row],[First_Name]]&amp;" "&amp;base_cleaned[[#This Row],[Last_Name]]</f>
        <v>Sarah Smith</v>
      </c>
      <c r="E132" t="s">
        <v>44</v>
      </c>
      <c r="F132" t="str">
        <f>VLOOKUP(E:E,Table7[#All],2,FALSE)</f>
        <v>Sales</v>
      </c>
      <c r="G132" s="4">
        <v>45057</v>
      </c>
      <c r="H132" s="6">
        <f ca="1">INT(YEARFRAC(base_cleaned[[#This Row],[Hire Date]],TODAY()))</f>
        <v>3</v>
      </c>
      <c r="I132" t="s">
        <v>305</v>
      </c>
      <c r="J132" s="7">
        <v>110618</v>
      </c>
      <c r="K132">
        <v>88</v>
      </c>
      <c r="L132" t="str">
        <f>VLOOKUP((base_cleaned[[#This Row],[Final Perf_Score]]),Table8[],3,TRUE)</f>
        <v>Exceeding</v>
      </c>
      <c r="M132" s="7">
        <f>((base_cleaned[[#This Row],[Final Salary]]*VLOOKUP((base_cleaned[[#This Row],[Final Perf_Score]]),Table8[],4,TRUE)))</f>
        <v>8849.44</v>
      </c>
      <c r="N132">
        <f>IF(base_cleaned[[#This Row],[Employment Status]]="LEFT",1,0)</f>
        <v>1</v>
      </c>
    </row>
    <row r="133" spans="1:14" x14ac:dyDescent="0.3">
      <c r="A133" t="s">
        <v>259</v>
      </c>
      <c r="B133" t="s">
        <v>105</v>
      </c>
      <c r="C133" t="s">
        <v>15</v>
      </c>
      <c r="D133" t="str">
        <f>base_cleaned[[#This Row],[First_Name]]&amp;" "&amp;base_cleaned[[#This Row],[Last_Name]]</f>
        <v>Melissa Hernandez</v>
      </c>
      <c r="E133" t="s">
        <v>33</v>
      </c>
      <c r="F133" t="str">
        <f>VLOOKUP(E:E,Table7[#All],2,FALSE)</f>
        <v>Operations</v>
      </c>
      <c r="G133" s="4">
        <v>44639</v>
      </c>
      <c r="H133" s="6">
        <f ca="1">INT(YEARFRAC(base_cleaned[[#This Row],[Hire Date]],TODAY()))</f>
        <v>4</v>
      </c>
      <c r="I133" t="s">
        <v>305</v>
      </c>
      <c r="J133" s="7">
        <v>108395</v>
      </c>
      <c r="K133">
        <v>78</v>
      </c>
      <c r="L133" t="str">
        <f>VLOOKUP((base_cleaned[[#This Row],[Final Perf_Score]]),Table8[],3,TRUE)</f>
        <v>Achieving</v>
      </c>
      <c r="M133" s="7">
        <f>((base_cleaned[[#This Row],[Final Salary]]*VLOOKUP((base_cleaned[[#This Row],[Final Perf_Score]]),Table8[],4,TRUE)))</f>
        <v>5419.75</v>
      </c>
      <c r="N133">
        <f>IF(base_cleaned[[#This Row],[Employment Status]]="LEFT",1,0)</f>
        <v>1</v>
      </c>
    </row>
    <row r="134" spans="1:14" x14ac:dyDescent="0.3">
      <c r="A134" t="s">
        <v>261</v>
      </c>
      <c r="B134" t="s">
        <v>105</v>
      </c>
      <c r="C134" t="s">
        <v>32</v>
      </c>
      <c r="D134" t="str">
        <f>base_cleaned[[#This Row],[First_Name]]&amp;" "&amp;base_cleaned[[#This Row],[Last_Name]]</f>
        <v>Melissa Johnson</v>
      </c>
      <c r="E134" t="s">
        <v>26</v>
      </c>
      <c r="F134" t="str">
        <f>VLOOKUP(E:E,Table7[#All],2,FALSE)</f>
        <v>Finance</v>
      </c>
      <c r="G134" s="4">
        <v>43091</v>
      </c>
      <c r="H134" s="6">
        <f ca="1">INT(YEARFRAC(base_cleaned[[#This Row],[Hire Date]],TODAY()))</f>
        <v>8</v>
      </c>
      <c r="I134" t="s">
        <v>304</v>
      </c>
      <c r="J134" s="7">
        <v>88005</v>
      </c>
      <c r="K134">
        <v>69</v>
      </c>
      <c r="L134" t="str">
        <f>VLOOKUP((base_cleaned[[#This Row],[Final Perf_Score]]),Table8[],3,TRUE)</f>
        <v>Developing</v>
      </c>
      <c r="M134" s="7">
        <f>((base_cleaned[[#This Row],[Final Salary]]*VLOOKUP((base_cleaned[[#This Row],[Final Perf_Score]]),Table8[],4,TRUE)))</f>
        <v>1760.1000000000001</v>
      </c>
      <c r="N134">
        <f>IF(base_cleaned[[#This Row],[Employment Status]]="LEFT",1,0)</f>
        <v>0</v>
      </c>
    </row>
    <row r="135" spans="1:14" x14ac:dyDescent="0.3">
      <c r="A135" t="s">
        <v>262</v>
      </c>
      <c r="B135" t="s">
        <v>53</v>
      </c>
      <c r="C135" t="s">
        <v>133</v>
      </c>
      <c r="D135" t="str">
        <f>base_cleaned[[#This Row],[First_Name]]&amp;" "&amp;base_cleaned[[#This Row],[Last_Name]]</f>
        <v>Jane Garcia</v>
      </c>
      <c r="E135" t="s">
        <v>16</v>
      </c>
      <c r="F135" t="str">
        <f>VLOOKUP(E:E,Table7[#All],2,FALSE)</f>
        <v>Marketing</v>
      </c>
      <c r="G135" s="4">
        <v>44437</v>
      </c>
      <c r="H135" s="6">
        <f ca="1">INT(YEARFRAC(base_cleaned[[#This Row],[Hire Date]],TODAY()))</f>
        <v>4</v>
      </c>
      <c r="I135" t="s">
        <v>304</v>
      </c>
      <c r="J135" s="7">
        <v>83007</v>
      </c>
      <c r="K135">
        <v>82</v>
      </c>
      <c r="L135" t="str">
        <f>VLOOKUP((base_cleaned[[#This Row],[Final Perf_Score]]),Table8[],3,TRUE)</f>
        <v>Achieving</v>
      </c>
      <c r="M135" s="7">
        <f>((base_cleaned[[#This Row],[Final Salary]]*VLOOKUP((base_cleaned[[#This Row],[Final Perf_Score]]),Table8[],4,TRUE)))</f>
        <v>4150.3500000000004</v>
      </c>
      <c r="N135">
        <f>IF(base_cleaned[[#This Row],[Employment Status]]="LEFT",1,0)</f>
        <v>0</v>
      </c>
    </row>
    <row r="136" spans="1:14" x14ac:dyDescent="0.3">
      <c r="A136" t="s">
        <v>264</v>
      </c>
      <c r="B136" t="s">
        <v>113</v>
      </c>
      <c r="C136" t="s">
        <v>64</v>
      </c>
      <c r="D136" t="str">
        <f>base_cleaned[[#This Row],[First_Name]]&amp;" "&amp;base_cleaned[[#This Row],[Last_Name]]</f>
        <v>David Davis</v>
      </c>
      <c r="E136" t="s">
        <v>11</v>
      </c>
      <c r="F136" t="str">
        <f>VLOOKUP(E:E,Table7[#All],2,FALSE)</f>
        <v>Information Technology</v>
      </c>
      <c r="G136" s="4">
        <v>43360</v>
      </c>
      <c r="H136" s="6">
        <f ca="1">INT(YEARFRAC(base_cleaned[[#This Row],[Hire Date]],TODAY()))</f>
        <v>7</v>
      </c>
      <c r="I136" t="s">
        <v>304</v>
      </c>
      <c r="J136" s="7">
        <v>61547</v>
      </c>
      <c r="K136">
        <v>68</v>
      </c>
      <c r="L136" t="str">
        <f>VLOOKUP((base_cleaned[[#This Row],[Final Perf_Score]]),Table8[],3,TRUE)</f>
        <v>Developing</v>
      </c>
      <c r="M136" s="7">
        <f>((base_cleaned[[#This Row],[Final Salary]]*VLOOKUP((base_cleaned[[#This Row],[Final Perf_Score]]),Table8[],4,TRUE)))</f>
        <v>1230.94</v>
      </c>
      <c r="N136">
        <f>IF(base_cleaned[[#This Row],[Employment Status]]="LEFT",1,0)</f>
        <v>0</v>
      </c>
    </row>
    <row r="137" spans="1:14" x14ac:dyDescent="0.3">
      <c r="A137" t="s">
        <v>266</v>
      </c>
      <c r="B137" t="s">
        <v>66</v>
      </c>
      <c r="C137" t="s">
        <v>36</v>
      </c>
      <c r="D137" t="str">
        <f>base_cleaned[[#This Row],[First_Name]]&amp;" "&amp;base_cleaned[[#This Row],[Last_Name]]</f>
        <v>James Wilson</v>
      </c>
      <c r="E137" t="s">
        <v>44</v>
      </c>
      <c r="F137" t="str">
        <f>VLOOKUP(E:E,Table7[#All],2,FALSE)</f>
        <v>Sales</v>
      </c>
      <c r="G137" s="4">
        <v>44375</v>
      </c>
      <c r="H137" s="6">
        <f ca="1">INT(YEARFRAC(base_cleaned[[#This Row],[Hire Date]],TODAY()))</f>
        <v>5</v>
      </c>
      <c r="I137" t="s">
        <v>304</v>
      </c>
      <c r="J137" s="7">
        <v>87283</v>
      </c>
      <c r="K137">
        <v>52</v>
      </c>
      <c r="L137" t="str">
        <f>VLOOKUP((base_cleaned[[#This Row],[Final Perf_Score]]),Table8[],3,TRUE)</f>
        <v>Developing</v>
      </c>
      <c r="M137" s="7">
        <f>((base_cleaned[[#This Row],[Final Salary]]*VLOOKUP((base_cleaned[[#This Row],[Final Perf_Score]]),Table8[],4,TRUE)))</f>
        <v>1745.66</v>
      </c>
      <c r="N137">
        <f>IF(base_cleaned[[#This Row],[Employment Status]]="LEFT",1,0)</f>
        <v>0</v>
      </c>
    </row>
    <row r="138" spans="1:14" x14ac:dyDescent="0.3">
      <c r="A138" t="s">
        <v>267</v>
      </c>
      <c r="B138" t="s">
        <v>14</v>
      </c>
      <c r="C138" t="s">
        <v>32</v>
      </c>
      <c r="D138" t="str">
        <f>base_cleaned[[#This Row],[First_Name]]&amp;" "&amp;base_cleaned[[#This Row],[Last_Name]]</f>
        <v>Richard Johnson</v>
      </c>
      <c r="E138" t="s">
        <v>33</v>
      </c>
      <c r="F138" t="str">
        <f>VLOOKUP(E:E,Table7[#All],2,FALSE)</f>
        <v>Operations</v>
      </c>
      <c r="G138" s="4">
        <v>43011</v>
      </c>
      <c r="H138" s="6">
        <f ca="1">INT(YEARFRAC(base_cleaned[[#This Row],[Hire Date]],TODAY()))</f>
        <v>8</v>
      </c>
      <c r="I138" t="s">
        <v>305</v>
      </c>
      <c r="J138" s="7">
        <v>50399</v>
      </c>
      <c r="K138">
        <v>92</v>
      </c>
      <c r="L138" t="str">
        <f>VLOOKUP((base_cleaned[[#This Row],[Final Perf_Score]]),Table8[],3,TRUE)</f>
        <v>Exceeding</v>
      </c>
      <c r="M138" s="7">
        <f>((base_cleaned[[#This Row],[Final Salary]]*VLOOKUP((base_cleaned[[#This Row],[Final Perf_Score]]),Table8[],4,TRUE)))</f>
        <v>4031.92</v>
      </c>
      <c r="N138">
        <f>IF(base_cleaned[[#This Row],[Employment Status]]="LEFT",1,0)</f>
        <v>1</v>
      </c>
    </row>
    <row r="139" spans="1:14" x14ac:dyDescent="0.3">
      <c r="A139" t="s">
        <v>269</v>
      </c>
      <c r="B139" t="s">
        <v>14</v>
      </c>
      <c r="C139" t="s">
        <v>54</v>
      </c>
      <c r="D139" t="str">
        <f>base_cleaned[[#This Row],[First_Name]]&amp;" "&amp;base_cleaned[[#This Row],[Last_Name]]</f>
        <v>Richard Williams</v>
      </c>
      <c r="E139" t="s">
        <v>26</v>
      </c>
      <c r="F139" t="str">
        <f>VLOOKUP(E:E,Table7[#All],2,FALSE)</f>
        <v>Finance</v>
      </c>
      <c r="G139" s="4">
        <v>42299</v>
      </c>
      <c r="H139" s="6">
        <f ca="1">INT(YEARFRAC(base_cleaned[[#This Row],[Hire Date]],TODAY()))</f>
        <v>10</v>
      </c>
      <c r="I139" t="s">
        <v>304</v>
      </c>
      <c r="J139" s="7">
        <v>87939</v>
      </c>
      <c r="K139">
        <v>62</v>
      </c>
      <c r="L139" t="str">
        <f>VLOOKUP((base_cleaned[[#This Row],[Final Perf_Score]]),Table8[],3,TRUE)</f>
        <v>Developing</v>
      </c>
      <c r="M139" s="7">
        <f>((base_cleaned[[#This Row],[Final Salary]]*VLOOKUP((base_cleaned[[#This Row],[Final Perf_Score]]),Table8[],4,TRUE)))</f>
        <v>1758.78</v>
      </c>
      <c r="N139">
        <f>IF(base_cleaned[[#This Row],[Employment Status]]="LEFT",1,0)</f>
        <v>0</v>
      </c>
    </row>
    <row r="140" spans="1:14" x14ac:dyDescent="0.3">
      <c r="A140" t="s">
        <v>271</v>
      </c>
      <c r="B140" t="s">
        <v>24</v>
      </c>
      <c r="C140" t="s">
        <v>15</v>
      </c>
      <c r="D140" t="str">
        <f>base_cleaned[[#This Row],[First_Name]]&amp;" "&amp;base_cleaned[[#This Row],[Last_Name]]</f>
        <v>John Hernandez</v>
      </c>
      <c r="E140" t="s">
        <v>33</v>
      </c>
      <c r="F140" t="str">
        <f>VLOOKUP(E:E,Table7[#All],2,FALSE)</f>
        <v>Operations</v>
      </c>
      <c r="G140" s="4">
        <v>43257</v>
      </c>
      <c r="H140" s="6">
        <f ca="1">INT(YEARFRAC(base_cleaned[[#This Row],[Hire Date]],TODAY()))</f>
        <v>8</v>
      </c>
      <c r="I140" t="s">
        <v>304</v>
      </c>
      <c r="J140" s="7">
        <v>52720</v>
      </c>
      <c r="K140">
        <v>68</v>
      </c>
      <c r="L140" t="str">
        <f>VLOOKUP((base_cleaned[[#This Row],[Final Perf_Score]]),Table8[],3,TRUE)</f>
        <v>Developing</v>
      </c>
      <c r="M140" s="7">
        <f>((base_cleaned[[#This Row],[Final Salary]]*VLOOKUP((base_cleaned[[#This Row],[Final Perf_Score]]),Table8[],4,TRUE)))</f>
        <v>1054.4000000000001</v>
      </c>
      <c r="N140">
        <f>IF(base_cleaned[[#This Row],[Employment Status]]="LEFT",1,0)</f>
        <v>0</v>
      </c>
    </row>
    <row r="141" spans="1:14" x14ac:dyDescent="0.3">
      <c r="A141" t="s">
        <v>272</v>
      </c>
      <c r="B141" t="s">
        <v>94</v>
      </c>
      <c r="C141" t="s">
        <v>19</v>
      </c>
      <c r="D141" t="str">
        <f>base_cleaned[[#This Row],[First_Name]]&amp;" "&amp;base_cleaned[[#This Row],[Last_Name]]</f>
        <v>Sarah Gonzalez</v>
      </c>
      <c r="E141" t="s">
        <v>33</v>
      </c>
      <c r="F141" t="str">
        <f>VLOOKUP(E:E,Table7[#All],2,FALSE)</f>
        <v>Operations</v>
      </c>
      <c r="G141" s="4">
        <v>42932</v>
      </c>
      <c r="H141" s="6">
        <f ca="1">INT(YEARFRAC(base_cleaned[[#This Row],[Hire Date]],TODAY()))</f>
        <v>8</v>
      </c>
      <c r="I141" t="s">
        <v>304</v>
      </c>
      <c r="J141" s="7">
        <v>65065</v>
      </c>
      <c r="K141">
        <v>98</v>
      </c>
      <c r="L141" t="str">
        <f>VLOOKUP((base_cleaned[[#This Row],[Final Perf_Score]]),Table8[],3,TRUE)</f>
        <v>Outstanding</v>
      </c>
      <c r="M141" s="7">
        <f>((base_cleaned[[#This Row],[Final Salary]]*VLOOKUP((base_cleaned[[#This Row],[Final Perf_Score]]),Table8[],4,TRUE)))</f>
        <v>7807.7999999999993</v>
      </c>
      <c r="N141">
        <f>IF(base_cleaned[[#This Row],[Employment Status]]="LEFT",1,0)</f>
        <v>0</v>
      </c>
    </row>
    <row r="142" spans="1:14" x14ac:dyDescent="0.3">
      <c r="A142" t="s">
        <v>273</v>
      </c>
      <c r="B142" t="s">
        <v>105</v>
      </c>
      <c r="C142" t="s">
        <v>15</v>
      </c>
      <c r="D142" t="str">
        <f>base_cleaned[[#This Row],[First_Name]]&amp;" "&amp;base_cleaned[[#This Row],[Last_Name]]</f>
        <v>Melissa Hernandez</v>
      </c>
      <c r="E142" t="s">
        <v>44</v>
      </c>
      <c r="F142" t="str">
        <f>VLOOKUP(E:E,Table7[#All],2,FALSE)</f>
        <v>Sales</v>
      </c>
      <c r="G142" s="4">
        <v>42175</v>
      </c>
      <c r="H142" s="6">
        <f ca="1">INT(YEARFRAC(base_cleaned[[#This Row],[Hire Date]],TODAY()))</f>
        <v>11</v>
      </c>
      <c r="I142" t="s">
        <v>305</v>
      </c>
      <c r="J142" s="7">
        <v>87283</v>
      </c>
      <c r="K142">
        <v>94</v>
      </c>
      <c r="L142" t="str">
        <f>VLOOKUP((base_cleaned[[#This Row],[Final Perf_Score]]),Table8[],3,TRUE)</f>
        <v>Exceeding</v>
      </c>
      <c r="M142" s="7">
        <f>((base_cleaned[[#This Row],[Final Salary]]*VLOOKUP((base_cleaned[[#This Row],[Final Perf_Score]]),Table8[],4,TRUE)))</f>
        <v>6982.64</v>
      </c>
      <c r="N142">
        <f>IF(base_cleaned[[#This Row],[Employment Status]]="LEFT",1,0)</f>
        <v>1</v>
      </c>
    </row>
    <row r="143" spans="1:14" x14ac:dyDescent="0.3">
      <c r="A143" t="s">
        <v>274</v>
      </c>
      <c r="B143" t="s">
        <v>105</v>
      </c>
      <c r="C143" t="s">
        <v>15</v>
      </c>
      <c r="D143" t="str">
        <f>base_cleaned[[#This Row],[First_Name]]&amp;" "&amp;base_cleaned[[#This Row],[Last_Name]]</f>
        <v>Melissa Hernandez</v>
      </c>
      <c r="E143" t="s">
        <v>33</v>
      </c>
      <c r="F143" t="str">
        <f>VLOOKUP(E:E,Table7[#All],2,FALSE)</f>
        <v>Operations</v>
      </c>
      <c r="G143" s="4">
        <v>43609</v>
      </c>
      <c r="H143" s="6">
        <f ca="1">INT(YEARFRAC(base_cleaned[[#This Row],[Hire Date]],TODAY()))</f>
        <v>7</v>
      </c>
      <c r="I143" t="s">
        <v>305</v>
      </c>
      <c r="J143" s="7">
        <v>108119</v>
      </c>
      <c r="K143">
        <v>57</v>
      </c>
      <c r="L143" t="str">
        <f>VLOOKUP((base_cleaned[[#This Row],[Final Perf_Score]]),Table8[],3,TRUE)</f>
        <v>Developing</v>
      </c>
      <c r="M143" s="7">
        <f>((base_cleaned[[#This Row],[Final Salary]]*VLOOKUP((base_cleaned[[#This Row],[Final Perf_Score]]),Table8[],4,TRUE)))</f>
        <v>2162.38</v>
      </c>
      <c r="N143">
        <f>IF(base_cleaned[[#This Row],[Employment Status]]="LEFT",1,0)</f>
        <v>1</v>
      </c>
    </row>
    <row r="144" spans="1:14" x14ac:dyDescent="0.3">
      <c r="A144" t="s">
        <v>276</v>
      </c>
      <c r="B144" t="s">
        <v>24</v>
      </c>
      <c r="C144" t="s">
        <v>64</v>
      </c>
      <c r="D144" t="str">
        <f>base_cleaned[[#This Row],[First_Name]]&amp;" "&amp;base_cleaned[[#This Row],[Last_Name]]</f>
        <v>John Davis</v>
      </c>
      <c r="E144" t="s">
        <v>11</v>
      </c>
      <c r="F144" t="str">
        <f>VLOOKUP(E:E,Table7[#All],2,FALSE)</f>
        <v>Information Technology</v>
      </c>
      <c r="G144" s="4">
        <v>43887</v>
      </c>
      <c r="H144" s="6">
        <f ca="1">INT(YEARFRAC(base_cleaned[[#This Row],[Hire Date]],TODAY()))</f>
        <v>6</v>
      </c>
      <c r="I144" t="s">
        <v>304</v>
      </c>
      <c r="J144" s="7">
        <v>80015</v>
      </c>
      <c r="K144">
        <v>96</v>
      </c>
      <c r="L144" t="str">
        <f>VLOOKUP((base_cleaned[[#This Row],[Final Perf_Score]]),Table8[],3,TRUE)</f>
        <v>Outstanding</v>
      </c>
      <c r="M144" s="7">
        <f>((base_cleaned[[#This Row],[Final Salary]]*VLOOKUP((base_cleaned[[#This Row],[Final Perf_Score]]),Table8[],4,TRUE)))</f>
        <v>9601.7999999999993</v>
      </c>
      <c r="N144">
        <f>IF(base_cleaned[[#This Row],[Employment Status]]="LEFT",1,0)</f>
        <v>0</v>
      </c>
    </row>
    <row r="145" spans="1:14" x14ac:dyDescent="0.3">
      <c r="A145" t="s">
        <v>277</v>
      </c>
      <c r="B145" t="s">
        <v>14</v>
      </c>
      <c r="C145" t="s">
        <v>64</v>
      </c>
      <c r="D145" t="str">
        <f>base_cleaned[[#This Row],[First_Name]]&amp;" "&amp;base_cleaned[[#This Row],[Last_Name]]</f>
        <v>Richard Davis</v>
      </c>
      <c r="E145" t="s">
        <v>97</v>
      </c>
      <c r="F145" t="str">
        <f>VLOOKUP(E:E,Table7[#All],2,FALSE)</f>
        <v>Human Resources</v>
      </c>
      <c r="G145" s="4">
        <v>44991</v>
      </c>
      <c r="H145" s="6">
        <f ca="1">INT(YEARFRAC(base_cleaned[[#This Row],[Hire Date]],TODAY()))</f>
        <v>3</v>
      </c>
      <c r="I145" t="s">
        <v>305</v>
      </c>
      <c r="J145" s="7">
        <v>106896</v>
      </c>
      <c r="K145">
        <v>52</v>
      </c>
      <c r="L145" t="str">
        <f>VLOOKUP((base_cleaned[[#This Row],[Final Perf_Score]]),Table8[],3,TRUE)</f>
        <v>Developing</v>
      </c>
      <c r="M145" s="7">
        <f>((base_cleaned[[#This Row],[Final Salary]]*VLOOKUP((base_cleaned[[#This Row],[Final Perf_Score]]),Table8[],4,TRUE)))</f>
        <v>2137.92</v>
      </c>
      <c r="N145">
        <f>IF(base_cleaned[[#This Row],[Employment Status]]="LEFT",1,0)</f>
        <v>1</v>
      </c>
    </row>
    <row r="146" spans="1:14" x14ac:dyDescent="0.3">
      <c r="A146" t="s">
        <v>278</v>
      </c>
      <c r="C146" t="s">
        <v>60</v>
      </c>
      <c r="D146" t="str">
        <f>base_cleaned[[#This Row],[First_Name]]&amp;" "&amp;base_cleaned[[#This Row],[Last_Name]]</f>
        <v xml:space="preserve"> Jones</v>
      </c>
      <c r="E146" t="s">
        <v>11</v>
      </c>
      <c r="F146" t="str">
        <f>VLOOKUP(E:E,Table7[#All],2,FALSE)</f>
        <v>Information Technology</v>
      </c>
      <c r="G146" s="4">
        <v>43477</v>
      </c>
      <c r="H146" s="6">
        <f ca="1">INT(YEARFRAC(base_cleaned[[#This Row],[Hire Date]],TODAY()))</f>
        <v>7</v>
      </c>
      <c r="I146" t="s">
        <v>304</v>
      </c>
      <c r="J146" s="7">
        <v>112887</v>
      </c>
      <c r="K146">
        <v>59</v>
      </c>
      <c r="L146" t="str">
        <f>VLOOKUP((base_cleaned[[#This Row],[Final Perf_Score]]),Table8[],3,TRUE)</f>
        <v>Developing</v>
      </c>
      <c r="M146" s="7">
        <f>((base_cleaned[[#This Row],[Final Salary]]*VLOOKUP((base_cleaned[[#This Row],[Final Perf_Score]]),Table8[],4,TRUE)))</f>
        <v>2257.7400000000002</v>
      </c>
      <c r="N146">
        <f>IF(base_cleaned[[#This Row],[Employment Status]]="LEFT",1,0)</f>
        <v>0</v>
      </c>
    </row>
    <row r="147" spans="1:14" x14ac:dyDescent="0.3">
      <c r="A147" t="s">
        <v>280</v>
      </c>
      <c r="B147" t="s">
        <v>160</v>
      </c>
      <c r="C147" t="s">
        <v>41</v>
      </c>
      <c r="D147" t="str">
        <f>base_cleaned[[#This Row],[First_Name]]&amp;" "&amp;base_cleaned[[#This Row],[Last_Name]]</f>
        <v>William Rodriguez</v>
      </c>
      <c r="E147" t="s">
        <v>26</v>
      </c>
      <c r="F147" t="str">
        <f>VLOOKUP(E:E,Table7[#All],2,FALSE)</f>
        <v>Finance</v>
      </c>
      <c r="G147" s="4">
        <v>45037</v>
      </c>
      <c r="H147" s="6">
        <f ca="1">INT(YEARFRAC(base_cleaned[[#This Row],[Hire Date]],TODAY()))</f>
        <v>3</v>
      </c>
      <c r="I147" t="s">
        <v>304</v>
      </c>
      <c r="J147" s="7">
        <v>85457</v>
      </c>
      <c r="K147">
        <v>79</v>
      </c>
      <c r="L147" t="str">
        <f>VLOOKUP((base_cleaned[[#This Row],[Final Perf_Score]]),Table8[],3,TRUE)</f>
        <v>Achieving</v>
      </c>
      <c r="M147" s="7">
        <f>((base_cleaned[[#This Row],[Final Salary]]*VLOOKUP((base_cleaned[[#This Row],[Final Perf_Score]]),Table8[],4,TRUE)))</f>
        <v>4272.8500000000004</v>
      </c>
      <c r="N147">
        <f>IF(base_cleaned[[#This Row],[Employment Status]]="LEFT",1,0)</f>
        <v>0</v>
      </c>
    </row>
    <row r="148" spans="1:14" x14ac:dyDescent="0.3">
      <c r="A148" t="s">
        <v>281</v>
      </c>
      <c r="B148" t="s">
        <v>105</v>
      </c>
      <c r="C148" t="s">
        <v>47</v>
      </c>
      <c r="D148" t="str">
        <f>base_cleaned[[#This Row],[First_Name]]&amp;" "&amp;base_cleaned[[#This Row],[Last_Name]]</f>
        <v>Melissa Miller</v>
      </c>
      <c r="E148" t="s">
        <v>44</v>
      </c>
      <c r="F148" t="str">
        <f>VLOOKUP(E:E,Table7[#All],2,FALSE)</f>
        <v>Sales</v>
      </c>
      <c r="G148" s="4">
        <v>42519</v>
      </c>
      <c r="H148" s="6">
        <f ca="1">INT(YEARFRAC(base_cleaned[[#This Row],[Hire Date]],TODAY()))</f>
        <v>10</v>
      </c>
      <c r="I148" t="s">
        <v>304</v>
      </c>
      <c r="J148" s="7">
        <v>62798</v>
      </c>
      <c r="K148">
        <v>30</v>
      </c>
      <c r="L148" t="str">
        <f>VLOOKUP((base_cleaned[[#This Row],[Final Perf_Score]]),Table8[],3,TRUE)</f>
        <v>Needs Improvement</v>
      </c>
      <c r="M148" s="7">
        <f>((base_cleaned[[#This Row],[Final Salary]]*VLOOKUP((base_cleaned[[#This Row],[Final Perf_Score]]),Table8[],4,TRUE)))</f>
        <v>0</v>
      </c>
      <c r="N148">
        <f>IF(base_cleaned[[#This Row],[Employment Status]]="LEFT",1,0)</f>
        <v>0</v>
      </c>
    </row>
    <row r="149" spans="1:14" x14ac:dyDescent="0.3">
      <c r="A149" t="s">
        <v>282</v>
      </c>
      <c r="B149" t="s">
        <v>9</v>
      </c>
      <c r="C149" t="s">
        <v>25</v>
      </c>
      <c r="D149" t="str">
        <f>base_cleaned[[#This Row],[First_Name]]&amp;" "&amp;base_cleaned[[#This Row],[Last_Name]]</f>
        <v>Emily Martinez</v>
      </c>
      <c r="E149" t="s">
        <v>33</v>
      </c>
      <c r="F149" t="str">
        <f>VLOOKUP(E:E,Table7[#All],2,FALSE)</f>
        <v>Operations</v>
      </c>
      <c r="G149" s="4">
        <v>44711</v>
      </c>
      <c r="H149" s="6">
        <f ca="1">INT(YEARFRAC(base_cleaned[[#This Row],[Hire Date]],TODAY()))</f>
        <v>4</v>
      </c>
      <c r="I149" t="s">
        <v>305</v>
      </c>
      <c r="J149" s="7">
        <v>47794</v>
      </c>
      <c r="K149">
        <v>73</v>
      </c>
      <c r="L149" t="str">
        <f>VLOOKUP((base_cleaned[[#This Row],[Final Perf_Score]]),Table8[],3,TRUE)</f>
        <v>Achieving</v>
      </c>
      <c r="M149" s="7">
        <f>((base_cleaned[[#This Row],[Final Salary]]*VLOOKUP((base_cleaned[[#This Row],[Final Perf_Score]]),Table8[],4,TRUE)))</f>
        <v>2389.7000000000003</v>
      </c>
      <c r="N149">
        <f>IF(base_cleaned[[#This Row],[Employment Status]]="LEFT",1,0)</f>
        <v>1</v>
      </c>
    </row>
    <row r="150" spans="1:14" x14ac:dyDescent="0.3">
      <c r="A150" t="s">
        <v>283</v>
      </c>
      <c r="B150" t="s">
        <v>66</v>
      </c>
      <c r="C150" t="s">
        <v>41</v>
      </c>
      <c r="D150" t="str">
        <f>base_cleaned[[#This Row],[First_Name]]&amp;" "&amp;base_cleaned[[#This Row],[Last_Name]]</f>
        <v>James Rodriguez</v>
      </c>
      <c r="E150" t="s">
        <v>16</v>
      </c>
      <c r="F150" t="str">
        <f>VLOOKUP(E:E,Table7[#All],2,FALSE)</f>
        <v>Marketing</v>
      </c>
      <c r="G150" s="4">
        <v>42677</v>
      </c>
      <c r="H150" s="6">
        <f ca="1">INT(YEARFRAC(base_cleaned[[#This Row],[Hire Date]],TODAY()))</f>
        <v>9</v>
      </c>
      <c r="I150" t="s">
        <v>304</v>
      </c>
      <c r="J150" s="7">
        <v>93094</v>
      </c>
      <c r="K150">
        <v>74</v>
      </c>
      <c r="L150" t="str">
        <f>VLOOKUP((base_cleaned[[#This Row],[Final Perf_Score]]),Table8[],3,TRUE)</f>
        <v>Achieving</v>
      </c>
      <c r="M150" s="7">
        <f>((base_cleaned[[#This Row],[Final Salary]]*VLOOKUP((base_cleaned[[#This Row],[Final Perf_Score]]),Table8[],4,TRUE)))</f>
        <v>4654.7</v>
      </c>
      <c r="N150">
        <f>IF(base_cleaned[[#This Row],[Employment Status]]="LEFT",1,0)</f>
        <v>0</v>
      </c>
    </row>
    <row r="151" spans="1:14" x14ac:dyDescent="0.3">
      <c r="A151" t="s">
        <v>285</v>
      </c>
      <c r="B151" t="s">
        <v>71</v>
      </c>
      <c r="C151" t="s">
        <v>10</v>
      </c>
      <c r="D151" t="str">
        <f>base_cleaned[[#This Row],[First_Name]]&amp;" "&amp;base_cleaned[[#This Row],[Last_Name]]</f>
        <v>Amanda Brown</v>
      </c>
      <c r="E151" t="s">
        <v>11</v>
      </c>
      <c r="F151" t="str">
        <f>VLOOKUP(E:E,Table7[#All],2,FALSE)</f>
        <v>Information Technology</v>
      </c>
      <c r="G151" s="4">
        <v>44848</v>
      </c>
      <c r="H151" s="6">
        <f ca="1">INT(YEARFRAC(base_cleaned[[#This Row],[Hire Date]],TODAY()))</f>
        <v>3</v>
      </c>
      <c r="I151" t="s">
        <v>304</v>
      </c>
      <c r="J151" s="7">
        <v>118634</v>
      </c>
      <c r="K151">
        <v>91</v>
      </c>
      <c r="L151" t="str">
        <f>VLOOKUP((base_cleaned[[#This Row],[Final Perf_Score]]),Table8[],3,TRUE)</f>
        <v>Exceeding</v>
      </c>
      <c r="M151" s="7">
        <f>((base_cleaned[[#This Row],[Final Salary]]*VLOOKUP((base_cleaned[[#This Row],[Final Perf_Score]]),Table8[],4,TRUE)))</f>
        <v>9490.7199999999993</v>
      </c>
      <c r="N151">
        <f>IF(base_cleaned[[#This Row],[Employment Status]]="LEFT",1,0)</f>
        <v>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5EF11-F72D-4203-97D9-58B37949CF50}">
  <dimension ref="A1:K71"/>
  <sheetViews>
    <sheetView topLeftCell="A49" workbookViewId="0">
      <selection activeCell="I45" sqref="I45"/>
    </sheetView>
  </sheetViews>
  <sheetFormatPr defaultRowHeight="14.4" x14ac:dyDescent="0.3"/>
  <cols>
    <col min="1" max="1" width="20.77734375" bestFit="1" customWidth="1"/>
    <col min="2" max="2" width="21.109375" bestFit="1" customWidth="1"/>
    <col min="3" max="3" width="20.21875" bestFit="1" customWidth="1"/>
    <col min="10" max="10" width="26.77734375" bestFit="1" customWidth="1"/>
  </cols>
  <sheetData>
    <row r="1" spans="1:11" x14ac:dyDescent="0.3">
      <c r="A1" s="12" t="s">
        <v>313</v>
      </c>
      <c r="J1" s="12" t="s">
        <v>325</v>
      </c>
    </row>
    <row r="2" spans="1:11" x14ac:dyDescent="0.3">
      <c r="A2" s="8" t="s">
        <v>314</v>
      </c>
      <c r="B2" t="s">
        <v>316</v>
      </c>
      <c r="C2" t="s">
        <v>317</v>
      </c>
      <c r="J2" s="14" t="s">
        <v>326</v>
      </c>
    </row>
    <row r="3" spans="1:11" x14ac:dyDescent="0.3">
      <c r="A3" s="9" t="s">
        <v>291</v>
      </c>
      <c r="B3" s="15">
        <v>17</v>
      </c>
      <c r="C3" s="7">
        <v>87938.588235294112</v>
      </c>
      <c r="J3" t="s">
        <v>316</v>
      </c>
    </row>
    <row r="4" spans="1:11" x14ac:dyDescent="0.3">
      <c r="A4" s="9" t="s">
        <v>289</v>
      </c>
      <c r="B4" s="15">
        <v>18</v>
      </c>
      <c r="C4" s="7">
        <v>85649.944444444438</v>
      </c>
      <c r="J4" s="15">
        <v>150</v>
      </c>
      <c r="K4">
        <f>GETPIVOTDATA("Emp ID",$J$3)</f>
        <v>150</v>
      </c>
    </row>
    <row r="5" spans="1:11" x14ac:dyDescent="0.3">
      <c r="A5" s="9" t="s">
        <v>290</v>
      </c>
      <c r="B5" s="15">
        <v>36</v>
      </c>
      <c r="C5" s="7">
        <v>80014.361111111109</v>
      </c>
    </row>
    <row r="6" spans="1:11" x14ac:dyDescent="0.3">
      <c r="A6" s="9" t="s">
        <v>292</v>
      </c>
      <c r="B6" s="15">
        <v>19</v>
      </c>
      <c r="C6" s="7">
        <v>85508.210526315786</v>
      </c>
    </row>
    <row r="7" spans="1:11" x14ac:dyDescent="0.3">
      <c r="A7" s="9" t="s">
        <v>294</v>
      </c>
      <c r="B7" s="15">
        <v>29</v>
      </c>
      <c r="C7" s="7">
        <v>79786.68965517242</v>
      </c>
      <c r="J7" s="14" t="s">
        <v>327</v>
      </c>
    </row>
    <row r="8" spans="1:11" x14ac:dyDescent="0.3">
      <c r="A8" s="9" t="s">
        <v>293</v>
      </c>
      <c r="B8" s="15">
        <v>31</v>
      </c>
      <c r="C8" s="7">
        <v>87282.516129032258</v>
      </c>
      <c r="J8" t="s">
        <v>317</v>
      </c>
    </row>
    <row r="9" spans="1:11" x14ac:dyDescent="0.3">
      <c r="A9" s="9" t="s">
        <v>315</v>
      </c>
      <c r="B9" s="15">
        <v>150</v>
      </c>
      <c r="C9" s="7">
        <v>83742.666666666672</v>
      </c>
      <c r="J9" s="7">
        <v>83742.666666666672</v>
      </c>
      <c r="K9" s="7">
        <f>GETPIVOTDATA("Final Salary",$J$8)</f>
        <v>83742.666666666672</v>
      </c>
    </row>
    <row r="12" spans="1:11" x14ac:dyDescent="0.3">
      <c r="A12" s="12" t="s">
        <v>318</v>
      </c>
      <c r="J12" s="14" t="s">
        <v>328</v>
      </c>
    </row>
    <row r="13" spans="1:11" x14ac:dyDescent="0.3">
      <c r="A13" s="8" t="s">
        <v>314</v>
      </c>
      <c r="B13" t="s">
        <v>320</v>
      </c>
      <c r="J13" t="s">
        <v>320</v>
      </c>
    </row>
    <row r="14" spans="1:11" x14ac:dyDescent="0.3">
      <c r="A14" s="9" t="s">
        <v>291</v>
      </c>
      <c r="B14" s="10">
        <v>0.17647058823529413</v>
      </c>
      <c r="J14" s="11">
        <v>0.22666666666666666</v>
      </c>
      <c r="K14" s="11">
        <f>GETPIVOTDATA("Attrition Flag",$J$13)</f>
        <v>0.22666666666666666</v>
      </c>
    </row>
    <row r="15" spans="1:11" x14ac:dyDescent="0.3">
      <c r="A15" s="9" t="s">
        <v>289</v>
      </c>
      <c r="B15" s="10">
        <v>0.16666666666666666</v>
      </c>
    </row>
    <row r="16" spans="1:11" x14ac:dyDescent="0.3">
      <c r="A16" s="9" t="s">
        <v>290</v>
      </c>
      <c r="B16" s="10">
        <v>0.22222222222222221</v>
      </c>
    </row>
    <row r="17" spans="1:11" x14ac:dyDescent="0.3">
      <c r="A17" s="9" t="s">
        <v>292</v>
      </c>
      <c r="B17" s="10">
        <v>0.15789473684210525</v>
      </c>
      <c r="J17" s="14" t="s">
        <v>329</v>
      </c>
    </row>
    <row r="18" spans="1:11" x14ac:dyDescent="0.3">
      <c r="A18" s="9" t="s">
        <v>294</v>
      </c>
      <c r="B18" s="10">
        <v>0.37931034482758619</v>
      </c>
      <c r="J18" t="s">
        <v>324</v>
      </c>
    </row>
    <row r="19" spans="1:11" x14ac:dyDescent="0.3">
      <c r="A19" s="9" t="s">
        <v>293</v>
      </c>
      <c r="B19" s="10">
        <v>0.19354838709677419</v>
      </c>
      <c r="J19" s="7">
        <v>502263.00000000006</v>
      </c>
      <c r="K19" s="7">
        <f>GETPIVOTDATA("Eligible Bonus Amount",$J$18)</f>
        <v>502263.00000000006</v>
      </c>
    </row>
    <row r="20" spans="1:11" x14ac:dyDescent="0.3">
      <c r="A20" s="9" t="s">
        <v>315</v>
      </c>
      <c r="B20" s="10">
        <v>0.22666666666666666</v>
      </c>
    </row>
    <row r="23" spans="1:11" x14ac:dyDescent="0.3">
      <c r="A23" s="12" t="s">
        <v>321</v>
      </c>
    </row>
    <row r="24" spans="1:11" x14ac:dyDescent="0.3">
      <c r="A24" s="8" t="s">
        <v>314</v>
      </c>
      <c r="B24" t="s">
        <v>322</v>
      </c>
    </row>
    <row r="25" spans="1:11" x14ac:dyDescent="0.3">
      <c r="A25" s="9" t="s">
        <v>304</v>
      </c>
      <c r="B25" s="13">
        <v>67.965517241379317</v>
      </c>
    </row>
    <row r="26" spans="1:11" x14ac:dyDescent="0.3">
      <c r="A26" s="9" t="s">
        <v>305</v>
      </c>
      <c r="B26" s="13">
        <v>69.147058823529406</v>
      </c>
    </row>
    <row r="27" spans="1:11" x14ac:dyDescent="0.3">
      <c r="A27" s="9" t="s">
        <v>315</v>
      </c>
      <c r="B27" s="13">
        <v>68.233333333333334</v>
      </c>
    </row>
    <row r="30" spans="1:11" x14ac:dyDescent="0.3">
      <c r="A30" s="12" t="s">
        <v>323</v>
      </c>
    </row>
    <row r="31" spans="1:11" x14ac:dyDescent="0.3">
      <c r="A31" s="8" t="s">
        <v>314</v>
      </c>
      <c r="B31" t="s">
        <v>324</v>
      </c>
    </row>
    <row r="32" spans="1:11" x14ac:dyDescent="0.3">
      <c r="A32" s="9" t="s">
        <v>301</v>
      </c>
      <c r="B32" s="7">
        <v>190093.4</v>
      </c>
    </row>
    <row r="33" spans="1:2" x14ac:dyDescent="0.3">
      <c r="A33" s="9" t="s">
        <v>300</v>
      </c>
      <c r="B33" s="7">
        <v>75052.600000000006</v>
      </c>
    </row>
    <row r="34" spans="1:2" x14ac:dyDescent="0.3">
      <c r="A34" s="9" t="s">
        <v>302</v>
      </c>
      <c r="B34" s="7">
        <v>145136.16000000003</v>
      </c>
    </row>
    <row r="35" spans="1:2" x14ac:dyDescent="0.3">
      <c r="A35" s="9" t="s">
        <v>299</v>
      </c>
      <c r="B35" s="7">
        <v>0</v>
      </c>
    </row>
    <row r="36" spans="1:2" x14ac:dyDescent="0.3">
      <c r="A36" s="9" t="s">
        <v>303</v>
      </c>
      <c r="B36" s="7">
        <v>91980.840000000011</v>
      </c>
    </row>
    <row r="37" spans="1:2" x14ac:dyDescent="0.3">
      <c r="A37" s="9" t="s">
        <v>315</v>
      </c>
      <c r="B37" s="7">
        <v>502263.00000000006</v>
      </c>
    </row>
    <row r="40" spans="1:2" x14ac:dyDescent="0.3">
      <c r="A40" s="12" t="s">
        <v>330</v>
      </c>
    </row>
    <row r="41" spans="1:2" x14ac:dyDescent="0.3">
      <c r="A41" s="8" t="s">
        <v>314</v>
      </c>
      <c r="B41" t="s">
        <v>316</v>
      </c>
    </row>
    <row r="42" spans="1:2" x14ac:dyDescent="0.3">
      <c r="A42" s="9" t="s">
        <v>291</v>
      </c>
      <c r="B42" s="10">
        <v>0.11333333333333333</v>
      </c>
    </row>
    <row r="43" spans="1:2" x14ac:dyDescent="0.3">
      <c r="A43" s="9" t="s">
        <v>289</v>
      </c>
      <c r="B43" s="10">
        <v>0.12</v>
      </c>
    </row>
    <row r="44" spans="1:2" x14ac:dyDescent="0.3">
      <c r="A44" s="9" t="s">
        <v>290</v>
      </c>
      <c r="B44" s="10">
        <v>0.24</v>
      </c>
    </row>
    <row r="45" spans="1:2" x14ac:dyDescent="0.3">
      <c r="A45" s="9" t="s">
        <v>292</v>
      </c>
      <c r="B45" s="10">
        <v>0.12666666666666668</v>
      </c>
    </row>
    <row r="46" spans="1:2" x14ac:dyDescent="0.3">
      <c r="A46" s="9" t="s">
        <v>294</v>
      </c>
      <c r="B46" s="10">
        <v>0.19333333333333333</v>
      </c>
    </row>
    <row r="47" spans="1:2" x14ac:dyDescent="0.3">
      <c r="A47" s="9" t="s">
        <v>293</v>
      </c>
      <c r="B47" s="10">
        <v>0.20666666666666667</v>
      </c>
    </row>
    <row r="48" spans="1:2" x14ac:dyDescent="0.3">
      <c r="A48" s="9" t="s">
        <v>315</v>
      </c>
      <c r="B48" s="10">
        <v>1</v>
      </c>
    </row>
    <row r="51" spans="1:2" x14ac:dyDescent="0.3">
      <c r="A51" s="12" t="s">
        <v>331</v>
      </c>
    </row>
    <row r="52" spans="1:2" x14ac:dyDescent="0.3">
      <c r="A52" s="8" t="s">
        <v>314</v>
      </c>
      <c r="B52" t="s">
        <v>317</v>
      </c>
    </row>
    <row r="53" spans="1:2" x14ac:dyDescent="0.3">
      <c r="A53" s="9" t="s">
        <v>291</v>
      </c>
      <c r="B53" s="7">
        <v>87938.588235294112</v>
      </c>
    </row>
    <row r="54" spans="1:2" x14ac:dyDescent="0.3">
      <c r="A54" s="9" t="s">
        <v>289</v>
      </c>
      <c r="B54" s="7">
        <v>85649.944444444438</v>
      </c>
    </row>
    <row r="55" spans="1:2" x14ac:dyDescent="0.3">
      <c r="A55" s="9" t="s">
        <v>290</v>
      </c>
      <c r="B55" s="7">
        <v>80014.361111111109</v>
      </c>
    </row>
    <row r="56" spans="1:2" x14ac:dyDescent="0.3">
      <c r="A56" s="9" t="s">
        <v>292</v>
      </c>
      <c r="B56" s="7">
        <v>85508.210526315786</v>
      </c>
    </row>
    <row r="57" spans="1:2" x14ac:dyDescent="0.3">
      <c r="A57" s="9" t="s">
        <v>294</v>
      </c>
      <c r="B57" s="7">
        <v>79786.68965517242</v>
      </c>
    </row>
    <row r="58" spans="1:2" x14ac:dyDescent="0.3">
      <c r="A58" s="9" t="s">
        <v>293</v>
      </c>
      <c r="B58" s="7">
        <v>87282.516129032258</v>
      </c>
    </row>
    <row r="59" spans="1:2" x14ac:dyDescent="0.3">
      <c r="A59" s="9" t="s">
        <v>315</v>
      </c>
      <c r="B59" s="7">
        <v>83742.666666666672</v>
      </c>
    </row>
    <row r="64" spans="1:2" x14ac:dyDescent="0.3">
      <c r="A64" s="8" t="s">
        <v>314</v>
      </c>
      <c r="B64" t="s">
        <v>332</v>
      </c>
    </row>
    <row r="65" spans="1:2" x14ac:dyDescent="0.3">
      <c r="A65" s="9" t="s">
        <v>291</v>
      </c>
      <c r="B65" s="10">
        <v>0.11450903761602345</v>
      </c>
    </row>
    <row r="66" spans="1:2" x14ac:dyDescent="0.3">
      <c r="A66" s="9" t="s">
        <v>289</v>
      </c>
      <c r="B66" s="10">
        <v>0.12486565705911089</v>
      </c>
    </row>
    <row r="67" spans="1:2" x14ac:dyDescent="0.3">
      <c r="A67" s="9" t="s">
        <v>292</v>
      </c>
      <c r="B67" s="10">
        <v>0.1379579872984856</v>
      </c>
    </row>
    <row r="68" spans="1:2" x14ac:dyDescent="0.3">
      <c r="A68" s="9" t="s">
        <v>293</v>
      </c>
      <c r="B68" s="10">
        <v>0.19384465070835369</v>
      </c>
    </row>
    <row r="69" spans="1:2" x14ac:dyDescent="0.3">
      <c r="A69" s="9" t="s">
        <v>294</v>
      </c>
      <c r="B69" s="10">
        <v>0.19902296042989742</v>
      </c>
    </row>
    <row r="70" spans="1:2" x14ac:dyDescent="0.3">
      <c r="A70" s="9" t="s">
        <v>290</v>
      </c>
      <c r="B70" s="10">
        <v>0.22979970688812898</v>
      </c>
    </row>
    <row r="71" spans="1:2" x14ac:dyDescent="0.3">
      <c r="A71" s="9" t="s">
        <v>315</v>
      </c>
      <c r="B71" 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FAF86-AAD5-4B7C-9597-186960E894FA}">
  <dimension ref="A1"/>
  <sheetViews>
    <sheetView topLeftCell="A16" workbookViewId="0">
      <selection activeCell="I39" sqref="I39"/>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51C18-6159-4B7F-B572-ECD1B73D2FA8}">
  <dimension ref="A1"/>
  <sheetViews>
    <sheetView showGridLines="0" tabSelected="1" zoomScale="60" zoomScaleNormal="60" workbookViewId="0">
      <selection activeCell="Y29" sqref="Y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C6" sqref="C6:C7"/>
    </sheetView>
  </sheetViews>
  <sheetFormatPr defaultRowHeight="14.4" x14ac:dyDescent="0.3"/>
  <cols>
    <col min="1" max="1" width="12.21875" customWidth="1"/>
    <col min="2" max="2" width="20.77734375" bestFit="1" customWidth="1"/>
  </cols>
  <sheetData>
    <row r="1" spans="1:2" x14ac:dyDescent="0.3">
      <c r="A1" s="3" t="s">
        <v>287</v>
      </c>
      <c r="B1" s="3" t="s">
        <v>288</v>
      </c>
    </row>
    <row r="2" spans="1:2" x14ac:dyDescent="0.3">
      <c r="A2" t="s">
        <v>97</v>
      </c>
      <c r="B2" t="s">
        <v>289</v>
      </c>
    </row>
    <row r="3" spans="1:2" x14ac:dyDescent="0.3">
      <c r="A3" t="s">
        <v>11</v>
      </c>
      <c r="B3" t="s">
        <v>290</v>
      </c>
    </row>
    <row r="4" spans="1:2" x14ac:dyDescent="0.3">
      <c r="A4" t="s">
        <v>26</v>
      </c>
      <c r="B4" t="s">
        <v>291</v>
      </c>
    </row>
    <row r="5" spans="1:2" x14ac:dyDescent="0.3">
      <c r="A5" t="s">
        <v>16</v>
      </c>
      <c r="B5" t="s">
        <v>292</v>
      </c>
    </row>
    <row r="6" spans="1:2" x14ac:dyDescent="0.3">
      <c r="A6" t="s">
        <v>44</v>
      </c>
      <c r="B6" t="s">
        <v>293</v>
      </c>
    </row>
    <row r="7" spans="1:2" x14ac:dyDescent="0.3">
      <c r="A7" t="s">
        <v>33</v>
      </c>
      <c r="B7" t="s">
        <v>294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D7" sqref="D7"/>
    </sheetView>
  </sheetViews>
  <sheetFormatPr defaultRowHeight="14.4" x14ac:dyDescent="0.3"/>
  <cols>
    <col min="1" max="1" width="11.88671875" customWidth="1"/>
    <col min="2" max="2" width="12.21875" customWidth="1"/>
    <col min="3" max="3" width="19.109375" customWidth="1"/>
    <col min="4" max="4" width="18.5546875" customWidth="1"/>
  </cols>
  <sheetData>
    <row r="1" spans="1:4" x14ac:dyDescent="0.3">
      <c r="A1" s="3" t="s">
        <v>295</v>
      </c>
      <c r="B1" s="3" t="s">
        <v>296</v>
      </c>
      <c r="C1" s="5" t="s">
        <v>297</v>
      </c>
      <c r="D1" s="3" t="s">
        <v>298</v>
      </c>
    </row>
    <row r="2" spans="1:4" x14ac:dyDescent="0.3">
      <c r="A2">
        <v>0</v>
      </c>
      <c r="B2">
        <v>49</v>
      </c>
      <c r="C2" t="s">
        <v>299</v>
      </c>
      <c r="D2">
        <v>0</v>
      </c>
    </row>
    <row r="3" spans="1:4" x14ac:dyDescent="0.3">
      <c r="A3">
        <v>50</v>
      </c>
      <c r="B3">
        <v>69</v>
      </c>
      <c r="C3" t="s">
        <v>300</v>
      </c>
      <c r="D3">
        <v>0.02</v>
      </c>
    </row>
    <row r="4" spans="1:4" x14ac:dyDescent="0.3">
      <c r="A4">
        <v>70</v>
      </c>
      <c r="B4">
        <v>84</v>
      </c>
      <c r="C4" t="s">
        <v>301</v>
      </c>
      <c r="D4">
        <v>0.05</v>
      </c>
    </row>
    <row r="5" spans="1:4" x14ac:dyDescent="0.3">
      <c r="A5">
        <v>85</v>
      </c>
      <c r="B5">
        <v>94</v>
      </c>
      <c r="C5" t="s">
        <v>302</v>
      </c>
      <c r="D5">
        <v>0.08</v>
      </c>
    </row>
    <row r="6" spans="1:4" x14ac:dyDescent="0.3">
      <c r="A6">
        <v>95</v>
      </c>
      <c r="B6">
        <v>100</v>
      </c>
      <c r="C6" t="s">
        <v>303</v>
      </c>
      <c r="D6">
        <v>0.12</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75504A-D4C0-455E-A3BB-08C651BCA2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Raw_Employee_Data</vt:lpstr>
      <vt:lpstr>clean_employee_data</vt:lpstr>
      <vt:lpstr>Analysis</vt:lpstr>
      <vt:lpstr>Charts</vt:lpstr>
      <vt:lpstr>HR Dashboard</vt:lpstr>
      <vt:lpstr>Lookup_Departments</vt:lpstr>
      <vt:lpstr>Lookup_Performance</vt:lpstr>
      <vt:lpstr>lookup_departments</vt:lpstr>
      <vt:lpstr>perf_look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abdul-azeem okesanjo</cp:lastModifiedBy>
  <dcterms:created xsi:type="dcterms:W3CDTF">2026-06-04T20:20:01Z</dcterms:created>
  <dcterms:modified xsi:type="dcterms:W3CDTF">2026-07-07T13:07:35Z</dcterms:modified>
</cp:coreProperties>
</file>